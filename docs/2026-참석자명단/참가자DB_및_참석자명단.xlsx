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창업특강_참석" sheetId="2" state="visible" r:id="rId2"/>
    <sheet xmlns:r="http://schemas.openxmlformats.org/officeDocument/2006/relationships" name="참가팀_명단" sheetId="3" state="visible" r:id="rId3"/>
    <sheet xmlns:r="http://schemas.openxmlformats.org/officeDocument/2006/relationships" name="서류심사_결과" sheetId="4" state="visible" r:id="rId4"/>
    <sheet xmlns:r="http://schemas.openxmlformats.org/officeDocument/2006/relationships" name="온라인멘토링" sheetId="5" state="visible" r:id="rId5"/>
    <sheet xmlns:r="http://schemas.openxmlformats.org/officeDocument/2006/relationships" name="최종발표_참석" sheetId="6" state="visible" r:id="rId6"/>
    <sheet xmlns:r="http://schemas.openxmlformats.org/officeDocument/2006/relationships" name="집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7365D"/>
      <sz val="14"/>
    </font>
    <font>
      <name val="맑은 고딕"/>
      <b val="1"/>
      <color rgb="0017365D"/>
      <sz val="11"/>
    </font>
    <font>
      <name val="맑은 고딕"/>
      <sz val="10"/>
    </font>
    <font>
      <name val="맑은 고딕"/>
      <color rgb="009C2A2A"/>
      <sz val="9"/>
    </font>
    <font>
      <name val="맑은 고딕"/>
      <b val="1"/>
      <color rgb="00FFFFFF"/>
      <sz val="10"/>
    </font>
    <font>
      <name val="맑은 고딕"/>
      <b val="1"/>
      <sz val="11"/>
    </font>
    <font>
      <name val="맑은 고딕"/>
      <color rgb="00767676"/>
      <sz val="10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4BDC7"/>
      </left>
      <right style="thin">
        <color rgb="00B4BDC7"/>
      </right>
      <top style="thin">
        <color rgb="00B4BDC7"/>
      </top>
      <bottom style="thin">
        <color rgb="00B4BD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2" fillId="4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 ht="26" customHeight="1">
      <c r="B2" s="1" t="inlineStr">
        <is>
          <t>2026년 고양시 바이브 코딩 창업경진대회 — 참가자 DB 및 참석자 명단</t>
        </is>
      </c>
    </row>
    <row r="4">
      <c r="B4" s="2" t="inlineStr">
        <is>
          <t>이 파일의 용도</t>
        </is>
      </c>
    </row>
    <row r="5">
      <c r="B5" s="3" t="inlineStr">
        <is>
          <t>과업지시서 Ⅲ-가의 「참가자 DB(소속·학번·연락처·팀 구성 여부) 구축」과</t>
        </is>
      </c>
    </row>
    <row r="6">
      <c r="B6" s="3" t="inlineStr">
        <is>
          <t>결과보고·정산 시 제출하는 행사별 참석자 명단을 하나로 관리하는 대장입니다.</t>
        </is>
      </c>
    </row>
    <row r="8">
      <c r="B8" s="2" t="inlineStr">
        <is>
          <t>시트 구성</t>
        </is>
      </c>
    </row>
    <row r="9">
      <c r="B9" s="3" t="inlineStr">
        <is>
          <t>① 창업특강_참석  9. 28.(월) 특강 참석자 — 현장 서명부를 받아 옮겨 적는 시트 (200행)</t>
        </is>
      </c>
    </row>
    <row r="10">
      <c r="B10" s="3" t="inlineStr">
        <is>
          <t>② 참가팀_명단    서류 접수 팀 전체 — 구글폼 응답을 붙여넣어 관리</t>
        </is>
      </c>
    </row>
    <row r="11">
      <c r="B11" s="3" t="inlineStr">
        <is>
          <t>③ 서류심사_결과  심사위원 2인의 항목별 점수 — 소계·평균 자동 계산, 합격 여부</t>
        </is>
      </c>
    </row>
    <row r="12">
      <c r="B12" s="3" t="inlineStr">
        <is>
          <t>④ 온라인멘토링   10. 13.(화)~10. 18.(일) 팀별 멘토링 진행 기록</t>
        </is>
      </c>
    </row>
    <row r="13">
      <c r="B13" s="3" t="inlineStr">
        <is>
          <t>⑤ 최종발표_참석  10. 22.(목) 발표 평가 및 시상 참석</t>
        </is>
      </c>
    </row>
    <row r="14">
      <c r="B14" s="3" t="inlineStr">
        <is>
          <t>⑥ 집계          위 시트를 자동 집계 (수식이 들어 있으니 덮어쓰지 마세요)</t>
        </is>
      </c>
    </row>
    <row r="16">
      <c r="B16" s="2" t="inlineStr">
        <is>
          <t>쓰는 법</t>
        </is>
      </c>
    </row>
    <row r="17">
      <c r="B17" s="3" t="inlineStr">
        <is>
          <t>· 구글폼 응답 시트를 열어 필요한 열만 복사해 「참가팀_명단」에 값 붙여넣기 하세요.</t>
        </is>
      </c>
    </row>
    <row r="18">
      <c r="B18" s="3" t="inlineStr">
        <is>
          <t>· 회색 드롭다운이 걸린 칸은 목록에서 고르시면 집계가 자동으로 맞습니다.</t>
        </is>
      </c>
    </row>
    <row r="19">
      <c r="B19" s="3" t="inlineStr">
        <is>
          <t>· 행이 모자라면 마지막 행을 복사해 아래로 늘리세요. 연번과 테두리가 같이 따라옵니다.</t>
        </is>
      </c>
    </row>
    <row r="21">
      <c r="B21" s="2" t="inlineStr">
        <is>
          <t>개인정보 취급</t>
        </is>
      </c>
    </row>
    <row r="22">
      <c r="B22" s="3" t="inlineStr">
        <is>
          <t>· 수집 목적(참석 확인·결과보고·정산) 외의 용도로 쓰지 않습니다.</t>
        </is>
      </c>
    </row>
    <row r="23">
      <c r="B23" s="3" t="inlineStr">
        <is>
          <t>· 사업 종료 및 정산 완료 후 6개월 이내에 파기합니다.</t>
        </is>
      </c>
    </row>
    <row r="24">
      <c r="B24" s="3" t="inlineStr">
        <is>
          <t>· 파일을 외부로 보낼 때는 연락처·이메일 열을 지우거나 가린 사본을 쓰세요.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4" customWidth="1" min="3" max="3"/>
    <col width="8" customWidth="1" min="4" max="4"/>
    <col width="14" customWidth="1" min="5" max="5"/>
    <col width="16" customWidth="1" min="6" max="6"/>
    <col width="26" customWidth="1" min="7" max="7"/>
    <col width="10" customWidth="1" min="8" max="8"/>
    <col width="8" customWidth="1" min="9" max="9"/>
    <col width="20" customWidth="1" min="10" max="10"/>
  </cols>
  <sheetData>
    <row r="1" ht="18" customHeight="1">
      <c r="A1" s="4" t="inlineStr">
        <is>
          <t>※ 9. 28.(월) 12:00~14:00 현장 서명부(창업특강_참석자명단.pdf)를 받아 이곳에 옮겨 적습니다.</t>
        </is>
      </c>
    </row>
    <row r="2" ht="30" customHeight="1">
      <c r="A2" s="5" t="inlineStr">
        <is>
          <t>연번</t>
        </is>
      </c>
      <c r="B2" s="5" t="inlineStr">
        <is>
          <t>성명</t>
        </is>
      </c>
      <c r="C2" s="5" t="inlineStr">
        <is>
          <t>소속</t>
        </is>
      </c>
      <c r="D2" s="5" t="inlineStr">
        <is>
          <t>학년</t>
        </is>
      </c>
      <c r="E2" s="5" t="inlineStr">
        <is>
          <t>학번</t>
        </is>
      </c>
      <c r="F2" s="5" t="inlineStr">
        <is>
          <t>연락처</t>
        </is>
      </c>
      <c r="G2" s="5" t="inlineStr">
        <is>
          <t>이메일</t>
        </is>
      </c>
      <c r="H2" s="5" t="inlineStr">
        <is>
          <t>개인정보
동의</t>
        </is>
      </c>
      <c r="I2" s="5" t="inlineStr">
        <is>
          <t>서명
확인</t>
        </is>
      </c>
      <c r="J2" s="5" t="inlineStr">
        <is>
          <t>비고</t>
        </is>
      </c>
    </row>
    <row r="3" ht="19" customHeight="1">
      <c r="A3" s="6" t="n">
        <v>1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 ht="19" customHeight="1">
      <c r="A4" s="8" t="n">
        <v>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 ht="19" customHeight="1">
      <c r="A5" s="6" t="n">
        <v>3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 ht="19" customHeight="1">
      <c r="A6" s="8" t="n">
        <v>4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 ht="19" customHeight="1">
      <c r="A7" s="6" t="n">
        <v>5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9" customHeight="1">
      <c r="A8" s="8" t="n">
        <v>6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19" customHeight="1">
      <c r="A9" s="6" t="n">
        <v>7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9" customHeight="1">
      <c r="A10" s="8" t="n">
        <v>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19" customHeight="1">
      <c r="A11" s="6" t="n">
        <v>9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9" customHeight="1">
      <c r="A12" s="8" t="n">
        <v>10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19" customHeight="1">
      <c r="A13" s="6" t="n">
        <v>11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9" customHeight="1">
      <c r="A14" s="8" t="n">
        <v>12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19" customHeight="1">
      <c r="A15" s="6" t="n">
        <v>13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9" customHeight="1">
      <c r="A16" s="8" t="n">
        <v>14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9" customHeight="1">
      <c r="A17" s="6" t="n">
        <v>15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19" customHeight="1">
      <c r="A18" s="8" t="n">
        <v>16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19" customHeight="1">
      <c r="A19" s="6" t="n">
        <v>17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19" customHeight="1">
      <c r="A20" s="8" t="n">
        <v>18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19" customHeight="1">
      <c r="A21" s="6" t="n">
        <v>19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19" customHeight="1">
      <c r="A22" s="8" t="n">
        <v>20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19" customHeight="1">
      <c r="A23" s="6" t="n">
        <v>21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19" customHeight="1">
      <c r="A24" s="8" t="n">
        <v>22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19" customHeight="1">
      <c r="A25" s="6" t="n">
        <v>23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19" customHeight="1">
      <c r="A26" s="8" t="n">
        <v>24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19" customHeight="1">
      <c r="A27" s="6" t="n">
        <v>25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19" customHeight="1">
      <c r="A28" s="8" t="n">
        <v>26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19" customHeight="1">
      <c r="A29" s="6" t="n">
        <v>27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9" customHeight="1">
      <c r="A30" s="8" t="n">
        <v>28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19" customHeight="1">
      <c r="A31" s="6" t="n">
        <v>29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19" customHeight="1">
      <c r="A32" s="8" t="n">
        <v>30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19" customHeight="1">
      <c r="A33" s="6" t="n">
        <v>31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19" customHeight="1">
      <c r="A34" s="8" t="n">
        <v>32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19" customHeight="1">
      <c r="A35" s="6" t="n">
        <v>33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19" customHeight="1">
      <c r="A36" s="8" t="n">
        <v>34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19" customHeight="1">
      <c r="A37" s="6" t="n">
        <v>35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19" customHeight="1">
      <c r="A38" s="8" t="n">
        <v>36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19" customHeight="1">
      <c r="A39" s="6" t="n">
        <v>37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19" customHeight="1">
      <c r="A40" s="8" t="n">
        <v>38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19" customHeight="1">
      <c r="A41" s="6" t="n">
        <v>39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19" customHeight="1">
      <c r="A42" s="8" t="n">
        <v>40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19" customHeight="1">
      <c r="A43" s="6" t="n">
        <v>41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19" customHeight="1">
      <c r="A44" s="8" t="n">
        <v>42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19" customHeight="1">
      <c r="A45" s="6" t="n">
        <v>43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19" customHeight="1">
      <c r="A46" s="8" t="n">
        <v>44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19" customHeight="1">
      <c r="A47" s="6" t="n">
        <v>45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19" customHeight="1">
      <c r="A48" s="8" t="n">
        <v>46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19" customHeight="1">
      <c r="A49" s="6" t="n">
        <v>47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19" customHeight="1">
      <c r="A50" s="8" t="n">
        <v>48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19" customHeight="1">
      <c r="A51" s="6" t="n">
        <v>49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19" customHeight="1">
      <c r="A52" s="8" t="n">
        <v>50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19" customHeight="1">
      <c r="A53" s="6" t="n">
        <v>51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19" customHeight="1">
      <c r="A54" s="8" t="n">
        <v>52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19" customHeight="1">
      <c r="A55" s="6" t="n">
        <v>53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19" customHeight="1">
      <c r="A56" s="8" t="n">
        <v>54</v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19" customHeight="1">
      <c r="A57" s="6" t="n">
        <v>55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19" customHeight="1">
      <c r="A58" s="8" t="n">
        <v>56</v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19" customHeight="1">
      <c r="A59" s="6" t="n">
        <v>57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19" customHeight="1">
      <c r="A60" s="8" t="n">
        <v>58</v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19" customHeight="1">
      <c r="A61" s="6" t="n">
        <v>59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19" customHeight="1">
      <c r="A62" s="8" t="n">
        <v>60</v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19" customHeight="1">
      <c r="A63" s="6" t="n">
        <v>61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19" customHeight="1">
      <c r="A64" s="8" t="n">
        <v>62</v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19" customHeight="1">
      <c r="A65" s="6" t="n">
        <v>63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19" customHeight="1">
      <c r="A66" s="8" t="n">
        <v>64</v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19" customHeight="1">
      <c r="A67" s="6" t="n">
        <v>65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19" customHeight="1">
      <c r="A68" s="8" t="n">
        <v>66</v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19" customHeight="1">
      <c r="A69" s="6" t="n">
        <v>67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19" customHeight="1">
      <c r="A70" s="8" t="n">
        <v>68</v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19" customHeight="1">
      <c r="A71" s="6" t="n">
        <v>69</v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19" customHeight="1">
      <c r="A72" s="8" t="n">
        <v>70</v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19" customHeight="1">
      <c r="A73" s="6" t="n">
        <v>71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19" customHeight="1">
      <c r="A74" s="8" t="n">
        <v>72</v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19" customHeight="1">
      <c r="A75" s="6" t="n">
        <v>73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19" customHeight="1">
      <c r="A76" s="8" t="n">
        <v>74</v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19" customHeight="1">
      <c r="A77" s="6" t="n">
        <v>75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19" customHeight="1">
      <c r="A78" s="8" t="n">
        <v>76</v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19" customHeight="1">
      <c r="A79" s="6" t="n">
        <v>77</v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19" customHeight="1">
      <c r="A80" s="8" t="n">
        <v>78</v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19" customHeight="1">
      <c r="A81" s="6" t="n">
        <v>79</v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19" customHeight="1">
      <c r="A82" s="8" t="n">
        <v>80</v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19" customHeight="1">
      <c r="A83" s="6" t="n">
        <v>81</v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19" customHeight="1">
      <c r="A84" s="8" t="n">
        <v>82</v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19" customHeight="1">
      <c r="A85" s="6" t="n">
        <v>83</v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19" customHeight="1">
      <c r="A86" s="8" t="n">
        <v>84</v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19" customHeight="1">
      <c r="A87" s="6" t="n">
        <v>85</v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19" customHeight="1">
      <c r="A88" s="8" t="n">
        <v>86</v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19" customHeight="1">
      <c r="A89" s="6" t="n">
        <v>87</v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19" customHeight="1">
      <c r="A90" s="8" t="n">
        <v>88</v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19" customHeight="1">
      <c r="A91" s="6" t="n">
        <v>89</v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19" customHeight="1">
      <c r="A92" s="8" t="n">
        <v>90</v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19" customHeight="1">
      <c r="A93" s="6" t="n">
        <v>91</v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19" customHeight="1">
      <c r="A94" s="8" t="n">
        <v>92</v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19" customHeight="1">
      <c r="A95" s="6" t="n">
        <v>93</v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19" customHeight="1">
      <c r="A96" s="8" t="n">
        <v>94</v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19" customHeight="1">
      <c r="A97" s="6" t="n">
        <v>95</v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19" customHeight="1">
      <c r="A98" s="8" t="n">
        <v>96</v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19" customHeight="1">
      <c r="A99" s="6" t="n">
        <v>97</v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19" customHeight="1">
      <c r="A100" s="8" t="n">
        <v>98</v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19" customHeight="1">
      <c r="A101" s="6" t="n">
        <v>99</v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19" customHeight="1">
      <c r="A102" s="8" t="n">
        <v>100</v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19" customHeight="1">
      <c r="A103" s="6" t="n">
        <v>101</v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19" customHeight="1">
      <c r="A104" s="8" t="n">
        <v>102</v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19" customHeight="1">
      <c r="A105" s="6" t="n">
        <v>103</v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19" customHeight="1">
      <c r="A106" s="8" t="n">
        <v>104</v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19" customHeight="1">
      <c r="A107" s="6" t="n">
        <v>105</v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19" customHeight="1">
      <c r="A108" s="8" t="n">
        <v>106</v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19" customHeight="1">
      <c r="A109" s="6" t="n">
        <v>107</v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19" customHeight="1">
      <c r="A110" s="8" t="n">
        <v>108</v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19" customHeight="1">
      <c r="A111" s="6" t="n">
        <v>109</v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19" customHeight="1">
      <c r="A112" s="8" t="n">
        <v>110</v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19" customHeight="1">
      <c r="A113" s="6" t="n">
        <v>111</v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19" customHeight="1">
      <c r="A114" s="8" t="n">
        <v>112</v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19" customHeight="1">
      <c r="A115" s="6" t="n">
        <v>113</v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19" customHeight="1">
      <c r="A116" s="8" t="n">
        <v>114</v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19" customHeight="1">
      <c r="A117" s="6" t="n">
        <v>115</v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19" customHeight="1">
      <c r="A118" s="8" t="n">
        <v>116</v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19" customHeight="1">
      <c r="A119" s="6" t="n">
        <v>117</v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19" customHeight="1">
      <c r="A120" s="8" t="n">
        <v>118</v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19" customHeight="1">
      <c r="A121" s="6" t="n">
        <v>119</v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19" customHeight="1">
      <c r="A122" s="8" t="n">
        <v>120</v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19" customHeight="1">
      <c r="A123" s="6" t="n">
        <v>121</v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19" customHeight="1">
      <c r="A124" s="8" t="n">
        <v>122</v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19" customHeight="1">
      <c r="A125" s="6" t="n">
        <v>123</v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19" customHeight="1">
      <c r="A126" s="8" t="n">
        <v>124</v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19" customHeight="1">
      <c r="A127" s="6" t="n">
        <v>125</v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19" customHeight="1">
      <c r="A128" s="8" t="n">
        <v>126</v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19" customHeight="1">
      <c r="A129" s="6" t="n">
        <v>127</v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19" customHeight="1">
      <c r="A130" s="8" t="n">
        <v>128</v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19" customHeight="1">
      <c r="A131" s="6" t="n">
        <v>129</v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19" customHeight="1">
      <c r="A132" s="8" t="n">
        <v>130</v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19" customHeight="1">
      <c r="A133" s="6" t="n">
        <v>131</v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19" customHeight="1">
      <c r="A134" s="8" t="n">
        <v>132</v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19" customHeight="1">
      <c r="A135" s="6" t="n">
        <v>133</v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19" customHeight="1">
      <c r="A136" s="8" t="n">
        <v>134</v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19" customHeight="1">
      <c r="A137" s="6" t="n">
        <v>135</v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19" customHeight="1">
      <c r="A138" s="8" t="n">
        <v>136</v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19" customHeight="1">
      <c r="A139" s="6" t="n">
        <v>137</v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19" customHeight="1">
      <c r="A140" s="8" t="n">
        <v>138</v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19" customHeight="1">
      <c r="A141" s="6" t="n">
        <v>139</v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19" customHeight="1">
      <c r="A142" s="8" t="n">
        <v>140</v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19" customHeight="1">
      <c r="A143" s="6" t="n">
        <v>141</v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19" customHeight="1">
      <c r="A144" s="8" t="n">
        <v>142</v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19" customHeight="1">
      <c r="A145" s="6" t="n">
        <v>143</v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19" customHeight="1">
      <c r="A146" s="8" t="n">
        <v>144</v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19" customHeight="1">
      <c r="A147" s="6" t="n">
        <v>145</v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19" customHeight="1">
      <c r="A148" s="8" t="n">
        <v>146</v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19" customHeight="1">
      <c r="A149" s="6" t="n">
        <v>147</v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19" customHeight="1">
      <c r="A150" s="8" t="n">
        <v>148</v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19" customHeight="1">
      <c r="A151" s="6" t="n">
        <v>149</v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19" customHeight="1">
      <c r="A152" s="8" t="n">
        <v>150</v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19" customHeight="1">
      <c r="A153" s="6" t="n">
        <v>151</v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19" customHeight="1">
      <c r="A154" s="8" t="n">
        <v>152</v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19" customHeight="1">
      <c r="A155" s="6" t="n">
        <v>153</v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19" customHeight="1">
      <c r="A156" s="8" t="n">
        <v>154</v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19" customHeight="1">
      <c r="A157" s="6" t="n">
        <v>155</v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19" customHeight="1">
      <c r="A158" s="8" t="n">
        <v>156</v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19" customHeight="1">
      <c r="A159" s="6" t="n">
        <v>157</v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19" customHeight="1">
      <c r="A160" s="8" t="n">
        <v>158</v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19" customHeight="1">
      <c r="A161" s="6" t="n">
        <v>159</v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19" customHeight="1">
      <c r="A162" s="8" t="n">
        <v>160</v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19" customHeight="1">
      <c r="A163" s="6" t="n">
        <v>161</v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19" customHeight="1">
      <c r="A164" s="8" t="n">
        <v>162</v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19" customHeight="1">
      <c r="A165" s="6" t="n">
        <v>163</v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19" customHeight="1">
      <c r="A166" s="8" t="n">
        <v>164</v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19" customHeight="1">
      <c r="A167" s="6" t="n">
        <v>165</v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19" customHeight="1">
      <c r="A168" s="8" t="n">
        <v>166</v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19" customHeight="1">
      <c r="A169" s="6" t="n">
        <v>167</v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19" customHeight="1">
      <c r="A170" s="8" t="n">
        <v>168</v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19" customHeight="1">
      <c r="A171" s="6" t="n">
        <v>169</v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19" customHeight="1">
      <c r="A172" s="8" t="n">
        <v>170</v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19" customHeight="1">
      <c r="A173" s="6" t="n">
        <v>171</v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19" customHeight="1">
      <c r="A174" s="8" t="n">
        <v>172</v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19" customHeight="1">
      <c r="A175" s="6" t="n">
        <v>173</v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19" customHeight="1">
      <c r="A176" s="8" t="n">
        <v>174</v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19" customHeight="1">
      <c r="A177" s="6" t="n">
        <v>175</v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19" customHeight="1">
      <c r="A178" s="8" t="n">
        <v>176</v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19" customHeight="1">
      <c r="A179" s="6" t="n">
        <v>177</v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19" customHeight="1">
      <c r="A180" s="8" t="n">
        <v>178</v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19" customHeight="1">
      <c r="A181" s="6" t="n">
        <v>179</v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19" customHeight="1">
      <c r="A182" s="8" t="n">
        <v>180</v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19" customHeight="1">
      <c r="A183" s="6" t="n">
        <v>181</v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19" customHeight="1">
      <c r="A184" s="8" t="n">
        <v>182</v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19" customHeight="1">
      <c r="A185" s="6" t="n">
        <v>183</v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19" customHeight="1">
      <c r="A186" s="8" t="n">
        <v>184</v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19" customHeight="1">
      <c r="A187" s="6" t="n">
        <v>185</v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19" customHeight="1">
      <c r="A188" s="8" t="n">
        <v>186</v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19" customHeight="1">
      <c r="A189" s="6" t="n">
        <v>187</v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19" customHeight="1">
      <c r="A190" s="8" t="n">
        <v>188</v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19" customHeight="1">
      <c r="A191" s="6" t="n">
        <v>189</v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19" customHeight="1">
      <c r="A192" s="8" t="n">
        <v>190</v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19" customHeight="1">
      <c r="A193" s="6" t="n">
        <v>191</v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19" customHeight="1">
      <c r="A194" s="8" t="n">
        <v>192</v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19" customHeight="1">
      <c r="A195" s="6" t="n">
        <v>193</v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19" customHeight="1">
      <c r="A196" s="8" t="n">
        <v>194</v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19" customHeight="1">
      <c r="A197" s="6" t="n">
        <v>195</v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19" customHeight="1">
      <c r="A198" s="8" t="n">
        <v>196</v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19" customHeight="1">
      <c r="A199" s="6" t="n">
        <v>197</v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19" customHeight="1">
      <c r="A200" s="8" t="n">
        <v>198</v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19" customHeight="1">
      <c r="A201" s="6" t="n">
        <v>199</v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19" customHeight="1">
      <c r="A202" s="8" t="n">
        <v>200</v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</sheetData>
  <mergeCells count="1">
    <mergeCell ref="A1:J1"/>
  </mergeCells>
  <dataValidations count="2">
    <dataValidation sqref="H3:H202" showDropDown="0" showInputMessage="0" showErrorMessage="0" allowBlank="1" type="list">
      <formula1>"Y,N"</formula1>
    </dataValidation>
    <dataValidation sqref="I3:I20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0" customWidth="1" min="4" max="4"/>
    <col width="18" customWidth="1" min="5" max="5"/>
    <col width="18" customWidth="1" min="6" max="6"/>
    <col width="16" customWidth="1" min="7" max="7"/>
    <col width="26" customWidth="1" min="8" max="8"/>
    <col width="40" customWidth="1" min="9" max="9"/>
    <col width="22" customWidth="1" min="10" max="10"/>
    <col width="22" customWidth="1" min="11" max="11"/>
    <col width="22" customWidth="1" min="12" max="12"/>
    <col width="11" customWidth="1" min="13" max="13"/>
    <col width="9" customWidth="1" min="14" max="14"/>
    <col width="20" customWidth="1" min="15" max="15"/>
    <col width="18" customWidth="1" min="16" max="16"/>
  </cols>
  <sheetData>
    <row r="1" ht="18" customHeight="1">
      <c r="A1" s="4" t="inlineStr">
        <is>
          <t>※ 구글폼 응답 시트에서 값만 복사해 붙여넣으세요. 접수 마감 10. 9.(금) 18:00</t>
        </is>
      </c>
    </row>
    <row r="2" ht="30" customHeight="1">
      <c r="A2" s="5" t="inlineStr">
        <is>
          <t>연번</t>
        </is>
      </c>
      <c r="B2" s="5" t="inlineStr">
        <is>
          <t>팀명</t>
        </is>
      </c>
      <c r="C2" s="5" t="inlineStr">
        <is>
          <t>참가
형태</t>
        </is>
      </c>
      <c r="D2" s="5" t="inlineStr">
        <is>
          <t>대표자</t>
        </is>
      </c>
      <c r="E2" s="5" t="inlineStr">
        <is>
          <t>소속 대학</t>
        </is>
      </c>
      <c r="F2" s="5" t="inlineStr">
        <is>
          <t>학과 / 학년</t>
        </is>
      </c>
      <c r="G2" s="5" t="inlineStr">
        <is>
          <t>연락처</t>
        </is>
      </c>
      <c r="H2" s="5" t="inlineStr">
        <is>
          <t>이메일</t>
        </is>
      </c>
      <c r="I2" s="5" t="inlineStr">
        <is>
          <t>아이템 한 줄 소개</t>
        </is>
      </c>
      <c r="J2" s="5" t="inlineStr">
        <is>
          <t>팀원 2</t>
        </is>
      </c>
      <c r="K2" s="5" t="inlineStr">
        <is>
          <t>팀원 3</t>
        </is>
      </c>
      <c r="L2" s="5" t="inlineStr">
        <is>
          <t>팀원 4</t>
        </is>
      </c>
      <c r="M2" s="5" t="inlineStr">
        <is>
          <t>사업계획서
제출</t>
        </is>
      </c>
      <c r="N2" s="5" t="inlineStr">
        <is>
          <t>특강
참석</t>
        </is>
      </c>
      <c r="O2" s="5" t="inlineStr">
        <is>
          <t>멘토링 가능
시간대</t>
        </is>
      </c>
      <c r="P2" s="5" t="inlineStr">
        <is>
          <t>비고</t>
        </is>
      </c>
    </row>
    <row r="3" ht="19" customHeight="1">
      <c r="A3" s="6" t="n">
        <v>1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9" customHeight="1">
      <c r="A4" s="8" t="n">
        <v>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9" customHeight="1">
      <c r="A5" s="6" t="n">
        <v>3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9" customHeight="1">
      <c r="A6" s="8" t="n">
        <v>4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9" customHeight="1">
      <c r="A7" s="6" t="n">
        <v>5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9" customHeight="1">
      <c r="A8" s="8" t="n">
        <v>6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9" customHeight="1">
      <c r="A9" s="6" t="n">
        <v>7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9" customHeight="1">
      <c r="A10" s="8" t="n">
        <v>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9" customHeight="1">
      <c r="A11" s="6" t="n">
        <v>9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9" customHeight="1">
      <c r="A12" s="8" t="n">
        <v>10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9" customHeight="1">
      <c r="A13" s="6" t="n">
        <v>11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9" customHeight="1">
      <c r="A14" s="8" t="n">
        <v>12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9" customHeight="1">
      <c r="A15" s="6" t="n">
        <v>13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9" customHeight="1">
      <c r="A16" s="8" t="n">
        <v>14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9" customHeight="1">
      <c r="A17" s="6" t="n">
        <v>15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9" customHeight="1">
      <c r="A18" s="8" t="n">
        <v>16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9" customHeight="1">
      <c r="A19" s="6" t="n">
        <v>17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9" customHeight="1">
      <c r="A20" s="8" t="n">
        <v>18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9" customHeight="1">
      <c r="A21" s="6" t="n">
        <v>19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19" customHeight="1">
      <c r="A22" s="8" t="n">
        <v>20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9" customHeight="1">
      <c r="A23" s="6" t="n">
        <v>21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19" customHeight="1">
      <c r="A24" s="8" t="n">
        <v>22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9" customHeight="1">
      <c r="A25" s="6" t="n">
        <v>23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19" customHeight="1">
      <c r="A26" s="8" t="n">
        <v>24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19" customHeight="1">
      <c r="A27" s="6" t="n">
        <v>25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ht="19" customHeight="1">
      <c r="A28" s="8" t="n">
        <v>26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 ht="19" customHeight="1">
      <c r="A29" s="6" t="n">
        <v>27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ht="19" customHeight="1">
      <c r="A30" s="8" t="n">
        <v>28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9" customHeight="1">
      <c r="A31" s="6" t="n">
        <v>29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 ht="19" customHeight="1">
      <c r="A32" s="8" t="n">
        <v>30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9" customHeight="1">
      <c r="A33" s="6" t="n">
        <v>31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 ht="19" customHeight="1">
      <c r="A34" s="8" t="n">
        <v>32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19" customHeight="1">
      <c r="A35" s="6" t="n">
        <v>33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 ht="19" customHeight="1">
      <c r="A36" s="8" t="n">
        <v>34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19" customHeight="1">
      <c r="A37" s="6" t="n">
        <v>35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 ht="19" customHeight="1">
      <c r="A38" s="8" t="n">
        <v>36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19" customHeight="1">
      <c r="A39" s="6" t="n">
        <v>37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 ht="19" customHeight="1">
      <c r="A40" s="8" t="n">
        <v>38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9" customHeight="1">
      <c r="A41" s="6" t="n">
        <v>39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 ht="19" customHeight="1">
      <c r="A42" s="8" t="n">
        <v>40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9" customHeight="1">
      <c r="A43" s="6" t="n">
        <v>41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 ht="19" customHeight="1">
      <c r="A44" s="8" t="n">
        <v>42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9" customHeight="1">
      <c r="A45" s="6" t="n">
        <v>43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 ht="19" customHeight="1">
      <c r="A46" s="8" t="n">
        <v>44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19" customHeight="1">
      <c r="A47" s="6" t="n">
        <v>45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 ht="19" customHeight="1">
      <c r="A48" s="8" t="n">
        <v>46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</row>
    <row r="49" ht="19" customHeight="1">
      <c r="A49" s="6" t="n">
        <v>47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 ht="19" customHeight="1">
      <c r="A50" s="8" t="n">
        <v>48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19" customHeight="1">
      <c r="A51" s="6" t="n">
        <v>49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 ht="19" customHeight="1">
      <c r="A52" s="8" t="n">
        <v>50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19" customHeight="1">
      <c r="A53" s="6" t="n">
        <v>51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 ht="19" customHeight="1">
      <c r="A54" s="8" t="n">
        <v>52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19" customHeight="1">
      <c r="A55" s="6" t="n">
        <v>53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 ht="19" customHeight="1">
      <c r="A56" s="8" t="n">
        <v>54</v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 ht="19" customHeight="1">
      <c r="A57" s="6" t="n">
        <v>55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 ht="19" customHeight="1">
      <c r="A58" s="8" t="n">
        <v>56</v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59" ht="19" customHeight="1">
      <c r="A59" s="6" t="n">
        <v>57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 ht="19" customHeight="1">
      <c r="A60" s="8" t="n">
        <v>58</v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</row>
    <row r="61" ht="19" customHeight="1">
      <c r="A61" s="6" t="n">
        <v>59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 ht="19" customHeight="1">
      <c r="A62" s="8" t="n">
        <v>60</v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</sheetData>
  <mergeCells count="1">
    <mergeCell ref="A1:P1"/>
  </mergeCells>
  <dataValidations count="3">
    <dataValidation sqref="C3:C62" showDropDown="0" showInputMessage="0" showErrorMessage="0" allowBlank="1" type="list">
      <formula1>"개인,2인,3인,4인"</formula1>
    </dataValidation>
    <dataValidation sqref="M3:M62" showDropDown="0" showInputMessage="0" showErrorMessage="0" allowBlank="1" type="list">
      <formula1>"Y,N"</formula1>
    </dataValidation>
    <dataValidation sqref="N3:N6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10" customWidth="1" min="18" max="18"/>
    <col width="8" customWidth="1" min="19" max="19"/>
    <col width="9" customWidth="1" min="20" max="20"/>
    <col width="12" customWidth="1" min="21" max="21"/>
    <col width="44" customWidth="1" min="22" max="22"/>
  </cols>
  <sheetData>
    <row r="1" ht="18" customHeight="1">
      <c r="A1" s="4" t="inlineStr">
        <is>
          <t>※ 배점 : 문제 정의 10 · AI 솔루션 적합성 20 · 시장 규모 15 · 비즈니스 모델 타당성 20 · 구현 계획 20 · 사업 의지 15 = 100점  ｜  서류 합격자 발표 10. 12.(월) 이메일 개별 통보</t>
        </is>
      </c>
    </row>
    <row r="2" ht="30" customHeight="1">
      <c r="A2" s="5" t="inlineStr">
        <is>
          <t>연번</t>
        </is>
      </c>
      <c r="B2" s="5" t="inlineStr">
        <is>
          <t>팀명</t>
        </is>
      </c>
      <c r="C2" s="5" t="inlineStr">
        <is>
          <t>대표자</t>
        </is>
      </c>
      <c r="D2" s="5" t="inlineStr">
        <is>
          <t>심사1
문제 정의 능력</t>
        </is>
      </c>
      <c r="E2" s="5" t="inlineStr">
        <is>
          <t>심사1
AI 솔루션 적합성</t>
        </is>
      </c>
      <c r="F2" s="5" t="inlineStr">
        <is>
          <t>심사1
시장 규모</t>
        </is>
      </c>
      <c r="G2" s="5" t="inlineStr">
        <is>
          <t>심사1
비즈니스 모델 타당성</t>
        </is>
      </c>
      <c r="H2" s="5" t="inlineStr">
        <is>
          <t>심사1
구현 계획</t>
        </is>
      </c>
      <c r="I2" s="5" t="inlineStr">
        <is>
          <t>심사1
사업 의지</t>
        </is>
      </c>
      <c r="J2" s="5" t="inlineStr">
        <is>
          <t>심사2
문제 정의 능력</t>
        </is>
      </c>
      <c r="K2" s="5" t="inlineStr">
        <is>
          <t>심사2
AI 솔루션 적합성</t>
        </is>
      </c>
      <c r="L2" s="5" t="inlineStr">
        <is>
          <t>심사2
시장 규모</t>
        </is>
      </c>
      <c r="M2" s="5" t="inlineStr">
        <is>
          <t>심사2
비즈니스 모델 타당성</t>
        </is>
      </c>
      <c r="N2" s="5" t="inlineStr">
        <is>
          <t>심사2
구현 계획</t>
        </is>
      </c>
      <c r="O2" s="5" t="inlineStr">
        <is>
          <t>심사2
사업 의지</t>
        </is>
      </c>
      <c r="P2" s="5" t="inlineStr">
        <is>
          <t>심사 1
소계</t>
        </is>
      </c>
      <c r="Q2" s="5" t="inlineStr">
        <is>
          <t>심사 2
소계</t>
        </is>
      </c>
      <c r="R2" s="5" t="inlineStr">
        <is>
          <t>평균</t>
        </is>
      </c>
      <c r="S2" s="5" t="inlineStr">
        <is>
          <t>순위</t>
        </is>
      </c>
      <c r="T2" s="5" t="inlineStr">
        <is>
          <t>합격
여부</t>
        </is>
      </c>
      <c r="U2" s="5" t="inlineStr">
        <is>
          <t>통보일</t>
        </is>
      </c>
      <c r="V2" s="5" t="inlineStr">
        <is>
          <t>심사 의견</t>
        </is>
      </c>
    </row>
    <row r="3" ht="19" customHeight="1">
      <c r="A3" s="6" t="n">
        <v>1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>
        <f>IF(COUNT(D3:I3)=0,"",SUM(D3:I3))</f>
        <v/>
      </c>
      <c r="Q3" s="7">
        <f>IF(COUNT(J3:O3)=0,"",SUM(J3:O3))</f>
        <v/>
      </c>
      <c r="R3" s="7">
        <f>IF(COUNT(P3:Q3)=0,"",ROUND(AVERAGE(P3:Q3),1))</f>
        <v/>
      </c>
      <c r="S3" s="7" t="n"/>
      <c r="T3" s="7" t="n"/>
      <c r="U3" s="7" t="n"/>
      <c r="V3" s="7" t="n"/>
    </row>
    <row r="4" ht="19" customHeight="1">
      <c r="A4" s="8" t="n">
        <v>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>
        <f>IF(COUNT(D4:I4)=0,"",SUM(D4:I4))</f>
        <v/>
      </c>
      <c r="Q4" s="9">
        <f>IF(COUNT(J4:O4)=0,"",SUM(J4:O4))</f>
        <v/>
      </c>
      <c r="R4" s="9">
        <f>IF(COUNT(P4:Q4)=0,"",ROUND(AVERAGE(P4:Q4),1))</f>
        <v/>
      </c>
      <c r="S4" s="9" t="n"/>
      <c r="T4" s="9" t="n"/>
      <c r="U4" s="9" t="n"/>
      <c r="V4" s="9" t="n"/>
    </row>
    <row r="5" ht="19" customHeight="1">
      <c r="A5" s="6" t="n">
        <v>3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>
        <f>IF(COUNT(D5:I5)=0,"",SUM(D5:I5))</f>
        <v/>
      </c>
      <c r="Q5" s="7">
        <f>IF(COUNT(J5:O5)=0,"",SUM(J5:O5))</f>
        <v/>
      </c>
      <c r="R5" s="7">
        <f>IF(COUNT(P5:Q5)=0,"",ROUND(AVERAGE(P5:Q5),1))</f>
        <v/>
      </c>
      <c r="S5" s="7" t="n"/>
      <c r="T5" s="7" t="n"/>
      <c r="U5" s="7" t="n"/>
      <c r="V5" s="7" t="n"/>
    </row>
    <row r="6" ht="19" customHeight="1">
      <c r="A6" s="8" t="n">
        <v>4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>
        <f>IF(COUNT(D6:I6)=0,"",SUM(D6:I6))</f>
        <v/>
      </c>
      <c r="Q6" s="9">
        <f>IF(COUNT(J6:O6)=0,"",SUM(J6:O6))</f>
        <v/>
      </c>
      <c r="R6" s="9">
        <f>IF(COUNT(P6:Q6)=0,"",ROUND(AVERAGE(P6:Q6),1))</f>
        <v/>
      </c>
      <c r="S6" s="9" t="n"/>
      <c r="T6" s="9" t="n"/>
      <c r="U6" s="9" t="n"/>
      <c r="V6" s="9" t="n"/>
    </row>
    <row r="7" ht="19" customHeight="1">
      <c r="A7" s="6" t="n">
        <v>5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>
        <f>IF(COUNT(D7:I7)=0,"",SUM(D7:I7))</f>
        <v/>
      </c>
      <c r="Q7" s="7">
        <f>IF(COUNT(J7:O7)=0,"",SUM(J7:O7))</f>
        <v/>
      </c>
      <c r="R7" s="7">
        <f>IF(COUNT(P7:Q7)=0,"",ROUND(AVERAGE(P7:Q7),1))</f>
        <v/>
      </c>
      <c r="S7" s="7" t="n"/>
      <c r="T7" s="7" t="n"/>
      <c r="U7" s="7" t="n"/>
      <c r="V7" s="7" t="n"/>
    </row>
    <row r="8" ht="19" customHeight="1">
      <c r="A8" s="8" t="n">
        <v>6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>
        <f>IF(COUNT(D8:I8)=0,"",SUM(D8:I8))</f>
        <v/>
      </c>
      <c r="Q8" s="9">
        <f>IF(COUNT(J8:O8)=0,"",SUM(J8:O8))</f>
        <v/>
      </c>
      <c r="R8" s="9">
        <f>IF(COUNT(P8:Q8)=0,"",ROUND(AVERAGE(P8:Q8),1))</f>
        <v/>
      </c>
      <c r="S8" s="9" t="n"/>
      <c r="T8" s="9" t="n"/>
      <c r="U8" s="9" t="n"/>
      <c r="V8" s="9" t="n"/>
    </row>
    <row r="9" ht="19" customHeight="1">
      <c r="A9" s="6" t="n">
        <v>7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>
        <f>IF(COUNT(D9:I9)=0,"",SUM(D9:I9))</f>
        <v/>
      </c>
      <c r="Q9" s="7">
        <f>IF(COUNT(J9:O9)=0,"",SUM(J9:O9))</f>
        <v/>
      </c>
      <c r="R9" s="7">
        <f>IF(COUNT(P9:Q9)=0,"",ROUND(AVERAGE(P9:Q9),1))</f>
        <v/>
      </c>
      <c r="S9" s="7" t="n"/>
      <c r="T9" s="7" t="n"/>
      <c r="U9" s="7" t="n"/>
      <c r="V9" s="7" t="n"/>
    </row>
    <row r="10" ht="19" customHeight="1">
      <c r="A10" s="8" t="n">
        <v>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>
        <f>IF(COUNT(D10:I10)=0,"",SUM(D10:I10))</f>
        <v/>
      </c>
      <c r="Q10" s="9">
        <f>IF(COUNT(J10:O10)=0,"",SUM(J10:O10))</f>
        <v/>
      </c>
      <c r="R10" s="9">
        <f>IF(COUNT(P10:Q10)=0,"",ROUND(AVERAGE(P10:Q10),1))</f>
        <v/>
      </c>
      <c r="S10" s="9" t="n"/>
      <c r="T10" s="9" t="n"/>
      <c r="U10" s="9" t="n"/>
      <c r="V10" s="9" t="n"/>
    </row>
    <row r="11" ht="19" customHeight="1">
      <c r="A11" s="6" t="n">
        <v>9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>
        <f>IF(COUNT(D11:I11)=0,"",SUM(D11:I11))</f>
        <v/>
      </c>
      <c r="Q11" s="7">
        <f>IF(COUNT(J11:O11)=0,"",SUM(J11:O11))</f>
        <v/>
      </c>
      <c r="R11" s="7">
        <f>IF(COUNT(P11:Q11)=0,"",ROUND(AVERAGE(P11:Q11),1))</f>
        <v/>
      </c>
      <c r="S11" s="7" t="n"/>
      <c r="T11" s="7" t="n"/>
      <c r="U11" s="7" t="n"/>
      <c r="V11" s="7" t="n"/>
    </row>
    <row r="12" ht="19" customHeight="1">
      <c r="A12" s="8" t="n">
        <v>10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>
        <f>IF(COUNT(D12:I12)=0,"",SUM(D12:I12))</f>
        <v/>
      </c>
      <c r="Q12" s="9">
        <f>IF(COUNT(J12:O12)=0,"",SUM(J12:O12))</f>
        <v/>
      </c>
      <c r="R12" s="9">
        <f>IF(COUNT(P12:Q12)=0,"",ROUND(AVERAGE(P12:Q12),1))</f>
        <v/>
      </c>
      <c r="S12" s="9" t="n"/>
      <c r="T12" s="9" t="n"/>
      <c r="U12" s="9" t="n"/>
      <c r="V12" s="9" t="n"/>
    </row>
    <row r="13" ht="19" customHeight="1">
      <c r="A13" s="6" t="n">
        <v>11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>
        <f>IF(COUNT(D13:I13)=0,"",SUM(D13:I13))</f>
        <v/>
      </c>
      <c r="Q13" s="7">
        <f>IF(COUNT(J13:O13)=0,"",SUM(J13:O13))</f>
        <v/>
      </c>
      <c r="R13" s="7">
        <f>IF(COUNT(P13:Q13)=0,"",ROUND(AVERAGE(P13:Q13),1))</f>
        <v/>
      </c>
      <c r="S13" s="7" t="n"/>
      <c r="T13" s="7" t="n"/>
      <c r="U13" s="7" t="n"/>
      <c r="V13" s="7" t="n"/>
    </row>
    <row r="14" ht="19" customHeight="1">
      <c r="A14" s="8" t="n">
        <v>12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>
        <f>IF(COUNT(D14:I14)=0,"",SUM(D14:I14))</f>
        <v/>
      </c>
      <c r="Q14" s="9">
        <f>IF(COUNT(J14:O14)=0,"",SUM(J14:O14))</f>
        <v/>
      </c>
      <c r="R14" s="9">
        <f>IF(COUNT(P14:Q14)=0,"",ROUND(AVERAGE(P14:Q14),1))</f>
        <v/>
      </c>
      <c r="S14" s="9" t="n"/>
      <c r="T14" s="9" t="n"/>
      <c r="U14" s="9" t="n"/>
      <c r="V14" s="9" t="n"/>
    </row>
    <row r="15" ht="19" customHeight="1">
      <c r="A15" s="6" t="n">
        <v>13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>
        <f>IF(COUNT(D15:I15)=0,"",SUM(D15:I15))</f>
        <v/>
      </c>
      <c r="Q15" s="7">
        <f>IF(COUNT(J15:O15)=0,"",SUM(J15:O15))</f>
        <v/>
      </c>
      <c r="R15" s="7">
        <f>IF(COUNT(P15:Q15)=0,"",ROUND(AVERAGE(P15:Q15),1))</f>
        <v/>
      </c>
      <c r="S15" s="7" t="n"/>
      <c r="T15" s="7" t="n"/>
      <c r="U15" s="7" t="n"/>
      <c r="V15" s="7" t="n"/>
    </row>
    <row r="16" ht="19" customHeight="1">
      <c r="A16" s="8" t="n">
        <v>14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>
        <f>IF(COUNT(D16:I16)=0,"",SUM(D16:I16))</f>
        <v/>
      </c>
      <c r="Q16" s="9">
        <f>IF(COUNT(J16:O16)=0,"",SUM(J16:O16))</f>
        <v/>
      </c>
      <c r="R16" s="9">
        <f>IF(COUNT(P16:Q16)=0,"",ROUND(AVERAGE(P16:Q16),1))</f>
        <v/>
      </c>
      <c r="S16" s="9" t="n"/>
      <c r="T16" s="9" t="n"/>
      <c r="U16" s="9" t="n"/>
      <c r="V16" s="9" t="n"/>
    </row>
    <row r="17" ht="19" customHeight="1">
      <c r="A17" s="6" t="n">
        <v>15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>
        <f>IF(COUNT(D17:I17)=0,"",SUM(D17:I17))</f>
        <v/>
      </c>
      <c r="Q17" s="7">
        <f>IF(COUNT(J17:O17)=0,"",SUM(J17:O17))</f>
        <v/>
      </c>
      <c r="R17" s="7">
        <f>IF(COUNT(P17:Q17)=0,"",ROUND(AVERAGE(P17:Q17),1))</f>
        <v/>
      </c>
      <c r="S17" s="7" t="n"/>
      <c r="T17" s="7" t="n"/>
      <c r="U17" s="7" t="n"/>
      <c r="V17" s="7" t="n"/>
    </row>
    <row r="18" ht="19" customHeight="1">
      <c r="A18" s="8" t="n">
        <v>16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>
        <f>IF(COUNT(D18:I18)=0,"",SUM(D18:I18))</f>
        <v/>
      </c>
      <c r="Q18" s="9">
        <f>IF(COUNT(J18:O18)=0,"",SUM(J18:O18))</f>
        <v/>
      </c>
      <c r="R18" s="9">
        <f>IF(COUNT(P18:Q18)=0,"",ROUND(AVERAGE(P18:Q18),1))</f>
        <v/>
      </c>
      <c r="S18" s="9" t="n"/>
      <c r="T18" s="9" t="n"/>
      <c r="U18" s="9" t="n"/>
      <c r="V18" s="9" t="n"/>
    </row>
    <row r="19" ht="19" customHeight="1">
      <c r="A19" s="6" t="n">
        <v>17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>
        <f>IF(COUNT(D19:I19)=0,"",SUM(D19:I19))</f>
        <v/>
      </c>
      <c r="Q19" s="7">
        <f>IF(COUNT(J19:O19)=0,"",SUM(J19:O19))</f>
        <v/>
      </c>
      <c r="R19" s="7">
        <f>IF(COUNT(P19:Q19)=0,"",ROUND(AVERAGE(P19:Q19),1))</f>
        <v/>
      </c>
      <c r="S19" s="7" t="n"/>
      <c r="T19" s="7" t="n"/>
      <c r="U19" s="7" t="n"/>
      <c r="V19" s="7" t="n"/>
    </row>
    <row r="20" ht="19" customHeight="1">
      <c r="A20" s="8" t="n">
        <v>18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>
        <f>IF(COUNT(D20:I20)=0,"",SUM(D20:I20))</f>
        <v/>
      </c>
      <c r="Q20" s="9">
        <f>IF(COUNT(J20:O20)=0,"",SUM(J20:O20))</f>
        <v/>
      </c>
      <c r="R20" s="9">
        <f>IF(COUNT(P20:Q20)=0,"",ROUND(AVERAGE(P20:Q20),1))</f>
        <v/>
      </c>
      <c r="S20" s="9" t="n"/>
      <c r="T20" s="9" t="n"/>
      <c r="U20" s="9" t="n"/>
      <c r="V20" s="9" t="n"/>
    </row>
    <row r="21" ht="19" customHeight="1">
      <c r="A21" s="6" t="n">
        <v>19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>
        <f>IF(COUNT(D21:I21)=0,"",SUM(D21:I21))</f>
        <v/>
      </c>
      <c r="Q21" s="7">
        <f>IF(COUNT(J21:O21)=0,"",SUM(J21:O21))</f>
        <v/>
      </c>
      <c r="R21" s="7">
        <f>IF(COUNT(P21:Q21)=0,"",ROUND(AVERAGE(P21:Q21),1))</f>
        <v/>
      </c>
      <c r="S21" s="7" t="n"/>
      <c r="T21" s="7" t="n"/>
      <c r="U21" s="7" t="n"/>
      <c r="V21" s="7" t="n"/>
    </row>
    <row r="22" ht="19" customHeight="1">
      <c r="A22" s="8" t="n">
        <v>20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>
        <f>IF(COUNT(D22:I22)=0,"",SUM(D22:I22))</f>
        <v/>
      </c>
      <c r="Q22" s="9">
        <f>IF(COUNT(J22:O22)=0,"",SUM(J22:O22))</f>
        <v/>
      </c>
      <c r="R22" s="9">
        <f>IF(COUNT(P22:Q22)=0,"",ROUND(AVERAGE(P22:Q22),1))</f>
        <v/>
      </c>
      <c r="S22" s="9" t="n"/>
      <c r="T22" s="9" t="n"/>
      <c r="U22" s="9" t="n"/>
      <c r="V22" s="9" t="n"/>
    </row>
    <row r="23" ht="19" customHeight="1">
      <c r="A23" s="6" t="n">
        <v>21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>
        <f>IF(COUNT(D23:I23)=0,"",SUM(D23:I23))</f>
        <v/>
      </c>
      <c r="Q23" s="7">
        <f>IF(COUNT(J23:O23)=0,"",SUM(J23:O23))</f>
        <v/>
      </c>
      <c r="R23" s="7">
        <f>IF(COUNT(P23:Q23)=0,"",ROUND(AVERAGE(P23:Q23),1))</f>
        <v/>
      </c>
      <c r="S23" s="7" t="n"/>
      <c r="T23" s="7" t="n"/>
      <c r="U23" s="7" t="n"/>
      <c r="V23" s="7" t="n"/>
    </row>
    <row r="24" ht="19" customHeight="1">
      <c r="A24" s="8" t="n">
        <v>22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>
        <f>IF(COUNT(D24:I24)=0,"",SUM(D24:I24))</f>
        <v/>
      </c>
      <c r="Q24" s="9">
        <f>IF(COUNT(J24:O24)=0,"",SUM(J24:O24))</f>
        <v/>
      </c>
      <c r="R24" s="9">
        <f>IF(COUNT(P24:Q24)=0,"",ROUND(AVERAGE(P24:Q24),1))</f>
        <v/>
      </c>
      <c r="S24" s="9" t="n"/>
      <c r="T24" s="9" t="n"/>
      <c r="U24" s="9" t="n"/>
      <c r="V24" s="9" t="n"/>
    </row>
    <row r="25" ht="19" customHeight="1">
      <c r="A25" s="6" t="n">
        <v>23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>
        <f>IF(COUNT(D25:I25)=0,"",SUM(D25:I25))</f>
        <v/>
      </c>
      <c r="Q25" s="7">
        <f>IF(COUNT(J25:O25)=0,"",SUM(J25:O25))</f>
        <v/>
      </c>
      <c r="R25" s="7">
        <f>IF(COUNT(P25:Q25)=0,"",ROUND(AVERAGE(P25:Q25),1))</f>
        <v/>
      </c>
      <c r="S25" s="7" t="n"/>
      <c r="T25" s="7" t="n"/>
      <c r="U25" s="7" t="n"/>
      <c r="V25" s="7" t="n"/>
    </row>
    <row r="26" ht="19" customHeight="1">
      <c r="A26" s="8" t="n">
        <v>24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>
        <f>IF(COUNT(D26:I26)=0,"",SUM(D26:I26))</f>
        <v/>
      </c>
      <c r="Q26" s="9">
        <f>IF(COUNT(J26:O26)=0,"",SUM(J26:O26))</f>
        <v/>
      </c>
      <c r="R26" s="9">
        <f>IF(COUNT(P26:Q26)=0,"",ROUND(AVERAGE(P26:Q26),1))</f>
        <v/>
      </c>
      <c r="S26" s="9" t="n"/>
      <c r="T26" s="9" t="n"/>
      <c r="U26" s="9" t="n"/>
      <c r="V26" s="9" t="n"/>
    </row>
    <row r="27" ht="19" customHeight="1">
      <c r="A27" s="6" t="n">
        <v>25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>
        <f>IF(COUNT(D27:I27)=0,"",SUM(D27:I27))</f>
        <v/>
      </c>
      <c r="Q27" s="7">
        <f>IF(COUNT(J27:O27)=0,"",SUM(J27:O27))</f>
        <v/>
      </c>
      <c r="R27" s="7">
        <f>IF(COUNT(P27:Q27)=0,"",ROUND(AVERAGE(P27:Q27),1))</f>
        <v/>
      </c>
      <c r="S27" s="7" t="n"/>
      <c r="T27" s="7" t="n"/>
      <c r="U27" s="7" t="n"/>
      <c r="V27" s="7" t="n"/>
    </row>
    <row r="28" ht="19" customHeight="1">
      <c r="A28" s="8" t="n">
        <v>26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>
        <f>IF(COUNT(D28:I28)=0,"",SUM(D28:I28))</f>
        <v/>
      </c>
      <c r="Q28" s="9">
        <f>IF(COUNT(J28:O28)=0,"",SUM(J28:O28))</f>
        <v/>
      </c>
      <c r="R28" s="9">
        <f>IF(COUNT(P28:Q28)=0,"",ROUND(AVERAGE(P28:Q28),1))</f>
        <v/>
      </c>
      <c r="S28" s="9" t="n"/>
      <c r="T28" s="9" t="n"/>
      <c r="U28" s="9" t="n"/>
      <c r="V28" s="9" t="n"/>
    </row>
    <row r="29" ht="19" customHeight="1">
      <c r="A29" s="6" t="n">
        <v>27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>
        <f>IF(COUNT(D29:I29)=0,"",SUM(D29:I29))</f>
        <v/>
      </c>
      <c r="Q29" s="7">
        <f>IF(COUNT(J29:O29)=0,"",SUM(J29:O29))</f>
        <v/>
      </c>
      <c r="R29" s="7">
        <f>IF(COUNT(P29:Q29)=0,"",ROUND(AVERAGE(P29:Q29),1))</f>
        <v/>
      </c>
      <c r="S29" s="7" t="n"/>
      <c r="T29" s="7" t="n"/>
      <c r="U29" s="7" t="n"/>
      <c r="V29" s="7" t="n"/>
    </row>
    <row r="30" ht="19" customHeight="1">
      <c r="A30" s="8" t="n">
        <v>28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>
        <f>IF(COUNT(D30:I30)=0,"",SUM(D30:I30))</f>
        <v/>
      </c>
      <c r="Q30" s="9">
        <f>IF(COUNT(J30:O30)=0,"",SUM(J30:O30))</f>
        <v/>
      </c>
      <c r="R30" s="9">
        <f>IF(COUNT(P30:Q30)=0,"",ROUND(AVERAGE(P30:Q30),1))</f>
        <v/>
      </c>
      <c r="S30" s="9" t="n"/>
      <c r="T30" s="9" t="n"/>
      <c r="U30" s="9" t="n"/>
      <c r="V30" s="9" t="n"/>
    </row>
    <row r="31" ht="19" customHeight="1">
      <c r="A31" s="6" t="n">
        <v>29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>
        <f>IF(COUNT(D31:I31)=0,"",SUM(D31:I31))</f>
        <v/>
      </c>
      <c r="Q31" s="7">
        <f>IF(COUNT(J31:O31)=0,"",SUM(J31:O31))</f>
        <v/>
      </c>
      <c r="R31" s="7">
        <f>IF(COUNT(P31:Q31)=0,"",ROUND(AVERAGE(P31:Q31),1))</f>
        <v/>
      </c>
      <c r="S31" s="7" t="n"/>
      <c r="T31" s="7" t="n"/>
      <c r="U31" s="7" t="n"/>
      <c r="V31" s="7" t="n"/>
    </row>
    <row r="32" ht="19" customHeight="1">
      <c r="A32" s="8" t="n">
        <v>30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>
        <f>IF(COUNT(D32:I32)=0,"",SUM(D32:I32))</f>
        <v/>
      </c>
      <c r="Q32" s="9">
        <f>IF(COUNT(J32:O32)=0,"",SUM(J32:O32))</f>
        <v/>
      </c>
      <c r="R32" s="9">
        <f>IF(COUNT(P32:Q32)=0,"",ROUND(AVERAGE(P32:Q32),1))</f>
        <v/>
      </c>
      <c r="S32" s="9" t="n"/>
      <c r="T32" s="9" t="n"/>
      <c r="U32" s="9" t="n"/>
      <c r="V32" s="9" t="n"/>
    </row>
    <row r="33" ht="19" customHeight="1">
      <c r="A33" s="6" t="n">
        <v>31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>
        <f>IF(COUNT(D33:I33)=0,"",SUM(D33:I33))</f>
        <v/>
      </c>
      <c r="Q33" s="7">
        <f>IF(COUNT(J33:O33)=0,"",SUM(J33:O33))</f>
        <v/>
      </c>
      <c r="R33" s="7">
        <f>IF(COUNT(P33:Q33)=0,"",ROUND(AVERAGE(P33:Q33),1))</f>
        <v/>
      </c>
      <c r="S33" s="7" t="n"/>
      <c r="T33" s="7" t="n"/>
      <c r="U33" s="7" t="n"/>
      <c r="V33" s="7" t="n"/>
    </row>
    <row r="34" ht="19" customHeight="1">
      <c r="A34" s="8" t="n">
        <v>32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>
        <f>IF(COUNT(D34:I34)=0,"",SUM(D34:I34))</f>
        <v/>
      </c>
      <c r="Q34" s="9">
        <f>IF(COUNT(J34:O34)=0,"",SUM(J34:O34))</f>
        <v/>
      </c>
      <c r="R34" s="9">
        <f>IF(COUNT(P34:Q34)=0,"",ROUND(AVERAGE(P34:Q34),1))</f>
        <v/>
      </c>
      <c r="S34" s="9" t="n"/>
      <c r="T34" s="9" t="n"/>
      <c r="U34" s="9" t="n"/>
      <c r="V34" s="9" t="n"/>
    </row>
    <row r="35" ht="19" customHeight="1">
      <c r="A35" s="6" t="n">
        <v>33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>
        <f>IF(COUNT(D35:I35)=0,"",SUM(D35:I35))</f>
        <v/>
      </c>
      <c r="Q35" s="7">
        <f>IF(COUNT(J35:O35)=0,"",SUM(J35:O35))</f>
        <v/>
      </c>
      <c r="R35" s="7">
        <f>IF(COUNT(P35:Q35)=0,"",ROUND(AVERAGE(P35:Q35),1))</f>
        <v/>
      </c>
      <c r="S35" s="7" t="n"/>
      <c r="T35" s="7" t="n"/>
      <c r="U35" s="7" t="n"/>
      <c r="V35" s="7" t="n"/>
    </row>
    <row r="36" ht="19" customHeight="1">
      <c r="A36" s="8" t="n">
        <v>34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>
        <f>IF(COUNT(D36:I36)=0,"",SUM(D36:I36))</f>
        <v/>
      </c>
      <c r="Q36" s="9">
        <f>IF(COUNT(J36:O36)=0,"",SUM(J36:O36))</f>
        <v/>
      </c>
      <c r="R36" s="9">
        <f>IF(COUNT(P36:Q36)=0,"",ROUND(AVERAGE(P36:Q36),1))</f>
        <v/>
      </c>
      <c r="S36" s="9" t="n"/>
      <c r="T36" s="9" t="n"/>
      <c r="U36" s="9" t="n"/>
      <c r="V36" s="9" t="n"/>
    </row>
    <row r="37" ht="19" customHeight="1">
      <c r="A37" s="6" t="n">
        <v>35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>
        <f>IF(COUNT(D37:I37)=0,"",SUM(D37:I37))</f>
        <v/>
      </c>
      <c r="Q37" s="7">
        <f>IF(COUNT(J37:O37)=0,"",SUM(J37:O37))</f>
        <v/>
      </c>
      <c r="R37" s="7">
        <f>IF(COUNT(P37:Q37)=0,"",ROUND(AVERAGE(P37:Q37),1))</f>
        <v/>
      </c>
      <c r="S37" s="7" t="n"/>
      <c r="T37" s="7" t="n"/>
      <c r="U37" s="7" t="n"/>
      <c r="V37" s="7" t="n"/>
    </row>
    <row r="38" ht="19" customHeight="1">
      <c r="A38" s="8" t="n">
        <v>36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>
        <f>IF(COUNT(D38:I38)=0,"",SUM(D38:I38))</f>
        <v/>
      </c>
      <c r="Q38" s="9">
        <f>IF(COUNT(J38:O38)=0,"",SUM(J38:O38))</f>
        <v/>
      </c>
      <c r="R38" s="9">
        <f>IF(COUNT(P38:Q38)=0,"",ROUND(AVERAGE(P38:Q38),1))</f>
        <v/>
      </c>
      <c r="S38" s="9" t="n"/>
      <c r="T38" s="9" t="n"/>
      <c r="U38" s="9" t="n"/>
      <c r="V38" s="9" t="n"/>
    </row>
    <row r="39" ht="19" customHeight="1">
      <c r="A39" s="6" t="n">
        <v>37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>
        <f>IF(COUNT(D39:I39)=0,"",SUM(D39:I39))</f>
        <v/>
      </c>
      <c r="Q39" s="7">
        <f>IF(COUNT(J39:O39)=0,"",SUM(J39:O39))</f>
        <v/>
      </c>
      <c r="R39" s="7">
        <f>IF(COUNT(P39:Q39)=0,"",ROUND(AVERAGE(P39:Q39),1))</f>
        <v/>
      </c>
      <c r="S39" s="7" t="n"/>
      <c r="T39" s="7" t="n"/>
      <c r="U39" s="7" t="n"/>
      <c r="V39" s="7" t="n"/>
    </row>
    <row r="40" ht="19" customHeight="1">
      <c r="A40" s="8" t="n">
        <v>38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>
        <f>IF(COUNT(D40:I40)=0,"",SUM(D40:I40))</f>
        <v/>
      </c>
      <c r="Q40" s="9">
        <f>IF(COUNT(J40:O40)=0,"",SUM(J40:O40))</f>
        <v/>
      </c>
      <c r="R40" s="9">
        <f>IF(COUNT(P40:Q40)=0,"",ROUND(AVERAGE(P40:Q40),1))</f>
        <v/>
      </c>
      <c r="S40" s="9" t="n"/>
      <c r="T40" s="9" t="n"/>
      <c r="U40" s="9" t="n"/>
      <c r="V40" s="9" t="n"/>
    </row>
    <row r="41" ht="19" customHeight="1">
      <c r="A41" s="6" t="n">
        <v>39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>
        <f>IF(COUNT(D41:I41)=0,"",SUM(D41:I41))</f>
        <v/>
      </c>
      <c r="Q41" s="7">
        <f>IF(COUNT(J41:O41)=0,"",SUM(J41:O41))</f>
        <v/>
      </c>
      <c r="R41" s="7">
        <f>IF(COUNT(P41:Q41)=0,"",ROUND(AVERAGE(P41:Q41),1))</f>
        <v/>
      </c>
      <c r="S41" s="7" t="n"/>
      <c r="T41" s="7" t="n"/>
      <c r="U41" s="7" t="n"/>
      <c r="V41" s="7" t="n"/>
    </row>
    <row r="42" ht="19" customHeight="1">
      <c r="A42" s="8" t="n">
        <v>40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>
        <f>IF(COUNT(D42:I42)=0,"",SUM(D42:I42))</f>
        <v/>
      </c>
      <c r="Q42" s="9">
        <f>IF(COUNT(J42:O42)=0,"",SUM(J42:O42))</f>
        <v/>
      </c>
      <c r="R42" s="9">
        <f>IF(COUNT(P42:Q42)=0,"",ROUND(AVERAGE(P42:Q42),1))</f>
        <v/>
      </c>
      <c r="S42" s="9" t="n"/>
      <c r="T42" s="9" t="n"/>
      <c r="U42" s="9" t="n"/>
      <c r="V42" s="9" t="n"/>
    </row>
    <row r="43" ht="19" customHeight="1">
      <c r="A43" s="6" t="n">
        <v>41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>
        <f>IF(COUNT(D43:I43)=0,"",SUM(D43:I43))</f>
        <v/>
      </c>
      <c r="Q43" s="7">
        <f>IF(COUNT(J43:O43)=0,"",SUM(J43:O43))</f>
        <v/>
      </c>
      <c r="R43" s="7">
        <f>IF(COUNT(P43:Q43)=0,"",ROUND(AVERAGE(P43:Q43),1))</f>
        <v/>
      </c>
      <c r="S43" s="7" t="n"/>
      <c r="T43" s="7" t="n"/>
      <c r="U43" s="7" t="n"/>
      <c r="V43" s="7" t="n"/>
    </row>
    <row r="44" ht="19" customHeight="1">
      <c r="A44" s="8" t="n">
        <v>42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>
        <f>IF(COUNT(D44:I44)=0,"",SUM(D44:I44))</f>
        <v/>
      </c>
      <c r="Q44" s="9">
        <f>IF(COUNT(J44:O44)=0,"",SUM(J44:O44))</f>
        <v/>
      </c>
      <c r="R44" s="9">
        <f>IF(COUNT(P44:Q44)=0,"",ROUND(AVERAGE(P44:Q44),1))</f>
        <v/>
      </c>
      <c r="S44" s="9" t="n"/>
      <c r="T44" s="9" t="n"/>
      <c r="U44" s="9" t="n"/>
      <c r="V44" s="9" t="n"/>
    </row>
    <row r="45" ht="19" customHeight="1">
      <c r="A45" s="6" t="n">
        <v>43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>
        <f>IF(COUNT(D45:I45)=0,"",SUM(D45:I45))</f>
        <v/>
      </c>
      <c r="Q45" s="7">
        <f>IF(COUNT(J45:O45)=0,"",SUM(J45:O45))</f>
        <v/>
      </c>
      <c r="R45" s="7">
        <f>IF(COUNT(P45:Q45)=0,"",ROUND(AVERAGE(P45:Q45),1))</f>
        <v/>
      </c>
      <c r="S45" s="7" t="n"/>
      <c r="T45" s="7" t="n"/>
      <c r="U45" s="7" t="n"/>
      <c r="V45" s="7" t="n"/>
    </row>
    <row r="46" ht="19" customHeight="1">
      <c r="A46" s="8" t="n">
        <v>44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>
        <f>IF(COUNT(D46:I46)=0,"",SUM(D46:I46))</f>
        <v/>
      </c>
      <c r="Q46" s="9">
        <f>IF(COUNT(J46:O46)=0,"",SUM(J46:O46))</f>
        <v/>
      </c>
      <c r="R46" s="9">
        <f>IF(COUNT(P46:Q46)=0,"",ROUND(AVERAGE(P46:Q46),1))</f>
        <v/>
      </c>
      <c r="S46" s="9" t="n"/>
      <c r="T46" s="9" t="n"/>
      <c r="U46" s="9" t="n"/>
      <c r="V46" s="9" t="n"/>
    </row>
    <row r="47" ht="19" customHeight="1">
      <c r="A47" s="6" t="n">
        <v>45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>
        <f>IF(COUNT(D47:I47)=0,"",SUM(D47:I47))</f>
        <v/>
      </c>
      <c r="Q47" s="7">
        <f>IF(COUNT(J47:O47)=0,"",SUM(J47:O47))</f>
        <v/>
      </c>
      <c r="R47" s="7">
        <f>IF(COUNT(P47:Q47)=0,"",ROUND(AVERAGE(P47:Q47),1))</f>
        <v/>
      </c>
      <c r="S47" s="7" t="n"/>
      <c r="T47" s="7" t="n"/>
      <c r="U47" s="7" t="n"/>
      <c r="V47" s="7" t="n"/>
    </row>
    <row r="48" ht="19" customHeight="1">
      <c r="A48" s="8" t="n">
        <v>46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>
        <f>IF(COUNT(D48:I48)=0,"",SUM(D48:I48))</f>
        <v/>
      </c>
      <c r="Q48" s="9">
        <f>IF(COUNT(J48:O48)=0,"",SUM(J48:O48))</f>
        <v/>
      </c>
      <c r="R48" s="9">
        <f>IF(COUNT(P48:Q48)=0,"",ROUND(AVERAGE(P48:Q48),1))</f>
        <v/>
      </c>
      <c r="S48" s="9" t="n"/>
      <c r="T48" s="9" t="n"/>
      <c r="U48" s="9" t="n"/>
      <c r="V48" s="9" t="n"/>
    </row>
    <row r="49" ht="19" customHeight="1">
      <c r="A49" s="6" t="n">
        <v>47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>
        <f>IF(COUNT(D49:I49)=0,"",SUM(D49:I49))</f>
        <v/>
      </c>
      <c r="Q49" s="7">
        <f>IF(COUNT(J49:O49)=0,"",SUM(J49:O49))</f>
        <v/>
      </c>
      <c r="R49" s="7">
        <f>IF(COUNT(P49:Q49)=0,"",ROUND(AVERAGE(P49:Q49),1))</f>
        <v/>
      </c>
      <c r="S49" s="7" t="n"/>
      <c r="T49" s="7" t="n"/>
      <c r="U49" s="7" t="n"/>
      <c r="V49" s="7" t="n"/>
    </row>
    <row r="50" ht="19" customHeight="1">
      <c r="A50" s="8" t="n">
        <v>48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>
        <f>IF(COUNT(D50:I50)=0,"",SUM(D50:I50))</f>
        <v/>
      </c>
      <c r="Q50" s="9">
        <f>IF(COUNT(J50:O50)=0,"",SUM(J50:O50))</f>
        <v/>
      </c>
      <c r="R50" s="9">
        <f>IF(COUNT(P50:Q50)=0,"",ROUND(AVERAGE(P50:Q50),1))</f>
        <v/>
      </c>
      <c r="S50" s="9" t="n"/>
      <c r="T50" s="9" t="n"/>
      <c r="U50" s="9" t="n"/>
      <c r="V50" s="9" t="n"/>
    </row>
    <row r="51" ht="19" customHeight="1">
      <c r="A51" s="6" t="n">
        <v>49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>
        <f>IF(COUNT(D51:I51)=0,"",SUM(D51:I51))</f>
        <v/>
      </c>
      <c r="Q51" s="7">
        <f>IF(COUNT(J51:O51)=0,"",SUM(J51:O51))</f>
        <v/>
      </c>
      <c r="R51" s="7">
        <f>IF(COUNT(P51:Q51)=0,"",ROUND(AVERAGE(P51:Q51),1))</f>
        <v/>
      </c>
      <c r="S51" s="7" t="n"/>
      <c r="T51" s="7" t="n"/>
      <c r="U51" s="7" t="n"/>
      <c r="V51" s="7" t="n"/>
    </row>
    <row r="52" ht="19" customHeight="1">
      <c r="A52" s="8" t="n">
        <v>50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>
        <f>IF(COUNT(D52:I52)=0,"",SUM(D52:I52))</f>
        <v/>
      </c>
      <c r="Q52" s="9">
        <f>IF(COUNT(J52:O52)=0,"",SUM(J52:O52))</f>
        <v/>
      </c>
      <c r="R52" s="9">
        <f>IF(COUNT(P52:Q52)=0,"",ROUND(AVERAGE(P52:Q52),1))</f>
        <v/>
      </c>
      <c r="S52" s="9" t="n"/>
      <c r="T52" s="9" t="n"/>
      <c r="U52" s="9" t="n"/>
      <c r="V52" s="9" t="n"/>
    </row>
    <row r="53" ht="19" customHeight="1">
      <c r="A53" s="6" t="n">
        <v>51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>
        <f>IF(COUNT(D53:I53)=0,"",SUM(D53:I53))</f>
        <v/>
      </c>
      <c r="Q53" s="7">
        <f>IF(COUNT(J53:O53)=0,"",SUM(J53:O53))</f>
        <v/>
      </c>
      <c r="R53" s="7">
        <f>IF(COUNT(P53:Q53)=0,"",ROUND(AVERAGE(P53:Q53),1))</f>
        <v/>
      </c>
      <c r="S53" s="7" t="n"/>
      <c r="T53" s="7" t="n"/>
      <c r="U53" s="7" t="n"/>
      <c r="V53" s="7" t="n"/>
    </row>
    <row r="54" ht="19" customHeight="1">
      <c r="A54" s="8" t="n">
        <v>52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>
        <f>IF(COUNT(D54:I54)=0,"",SUM(D54:I54))</f>
        <v/>
      </c>
      <c r="Q54" s="9">
        <f>IF(COUNT(J54:O54)=0,"",SUM(J54:O54))</f>
        <v/>
      </c>
      <c r="R54" s="9">
        <f>IF(COUNT(P54:Q54)=0,"",ROUND(AVERAGE(P54:Q54),1))</f>
        <v/>
      </c>
      <c r="S54" s="9" t="n"/>
      <c r="T54" s="9" t="n"/>
      <c r="U54" s="9" t="n"/>
      <c r="V54" s="9" t="n"/>
    </row>
    <row r="55" ht="19" customHeight="1">
      <c r="A55" s="6" t="n">
        <v>53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>
        <f>IF(COUNT(D55:I55)=0,"",SUM(D55:I55))</f>
        <v/>
      </c>
      <c r="Q55" s="7">
        <f>IF(COUNT(J55:O55)=0,"",SUM(J55:O55))</f>
        <v/>
      </c>
      <c r="R55" s="7">
        <f>IF(COUNT(P55:Q55)=0,"",ROUND(AVERAGE(P55:Q55),1))</f>
        <v/>
      </c>
      <c r="S55" s="7" t="n"/>
      <c r="T55" s="7" t="n"/>
      <c r="U55" s="7" t="n"/>
      <c r="V55" s="7" t="n"/>
    </row>
    <row r="56" ht="19" customHeight="1">
      <c r="A56" s="8" t="n">
        <v>54</v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>
        <f>IF(COUNT(D56:I56)=0,"",SUM(D56:I56))</f>
        <v/>
      </c>
      <c r="Q56" s="9">
        <f>IF(COUNT(J56:O56)=0,"",SUM(J56:O56))</f>
        <v/>
      </c>
      <c r="R56" s="9">
        <f>IF(COUNT(P56:Q56)=0,"",ROUND(AVERAGE(P56:Q56),1))</f>
        <v/>
      </c>
      <c r="S56" s="9" t="n"/>
      <c r="T56" s="9" t="n"/>
      <c r="U56" s="9" t="n"/>
      <c r="V56" s="9" t="n"/>
    </row>
    <row r="57" ht="19" customHeight="1">
      <c r="A57" s="6" t="n">
        <v>55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>
        <f>IF(COUNT(D57:I57)=0,"",SUM(D57:I57))</f>
        <v/>
      </c>
      <c r="Q57" s="7">
        <f>IF(COUNT(J57:O57)=0,"",SUM(J57:O57))</f>
        <v/>
      </c>
      <c r="R57" s="7">
        <f>IF(COUNT(P57:Q57)=0,"",ROUND(AVERAGE(P57:Q57),1))</f>
        <v/>
      </c>
      <c r="S57" s="7" t="n"/>
      <c r="T57" s="7" t="n"/>
      <c r="U57" s="7" t="n"/>
      <c r="V57" s="7" t="n"/>
    </row>
    <row r="58" ht="19" customHeight="1">
      <c r="A58" s="8" t="n">
        <v>56</v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>
        <f>IF(COUNT(D58:I58)=0,"",SUM(D58:I58))</f>
        <v/>
      </c>
      <c r="Q58" s="9">
        <f>IF(COUNT(J58:O58)=0,"",SUM(J58:O58))</f>
        <v/>
      </c>
      <c r="R58" s="9">
        <f>IF(COUNT(P58:Q58)=0,"",ROUND(AVERAGE(P58:Q58),1))</f>
        <v/>
      </c>
      <c r="S58" s="9" t="n"/>
      <c r="T58" s="9" t="n"/>
      <c r="U58" s="9" t="n"/>
      <c r="V58" s="9" t="n"/>
    </row>
    <row r="59" ht="19" customHeight="1">
      <c r="A59" s="6" t="n">
        <v>57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>
        <f>IF(COUNT(D59:I59)=0,"",SUM(D59:I59))</f>
        <v/>
      </c>
      <c r="Q59" s="7">
        <f>IF(COUNT(J59:O59)=0,"",SUM(J59:O59))</f>
        <v/>
      </c>
      <c r="R59" s="7">
        <f>IF(COUNT(P59:Q59)=0,"",ROUND(AVERAGE(P59:Q59),1))</f>
        <v/>
      </c>
      <c r="S59" s="7" t="n"/>
      <c r="T59" s="7" t="n"/>
      <c r="U59" s="7" t="n"/>
      <c r="V59" s="7" t="n"/>
    </row>
    <row r="60" ht="19" customHeight="1">
      <c r="A60" s="8" t="n">
        <v>58</v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>
        <f>IF(COUNT(D60:I60)=0,"",SUM(D60:I60))</f>
        <v/>
      </c>
      <c r="Q60" s="9">
        <f>IF(COUNT(J60:O60)=0,"",SUM(J60:O60))</f>
        <v/>
      </c>
      <c r="R60" s="9">
        <f>IF(COUNT(P60:Q60)=0,"",ROUND(AVERAGE(P60:Q60),1))</f>
        <v/>
      </c>
      <c r="S60" s="9" t="n"/>
      <c r="T60" s="9" t="n"/>
      <c r="U60" s="9" t="n"/>
      <c r="V60" s="9" t="n"/>
    </row>
    <row r="61" ht="19" customHeight="1">
      <c r="A61" s="6" t="n">
        <v>59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>
        <f>IF(COUNT(D61:I61)=0,"",SUM(D61:I61))</f>
        <v/>
      </c>
      <c r="Q61" s="7">
        <f>IF(COUNT(J61:O61)=0,"",SUM(J61:O61))</f>
        <v/>
      </c>
      <c r="R61" s="7">
        <f>IF(COUNT(P61:Q61)=0,"",ROUND(AVERAGE(P61:Q61),1))</f>
        <v/>
      </c>
      <c r="S61" s="7" t="n"/>
      <c r="T61" s="7" t="n"/>
      <c r="U61" s="7" t="n"/>
      <c r="V61" s="7" t="n"/>
    </row>
    <row r="62" ht="19" customHeight="1">
      <c r="A62" s="8" t="n">
        <v>60</v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>
        <f>IF(COUNT(D62:I62)=0,"",SUM(D62:I62))</f>
        <v/>
      </c>
      <c r="Q62" s="9">
        <f>IF(COUNT(J62:O62)=0,"",SUM(J62:O62))</f>
        <v/>
      </c>
      <c r="R62" s="9">
        <f>IF(COUNT(P62:Q62)=0,"",ROUND(AVERAGE(P62:Q62),1))</f>
        <v/>
      </c>
      <c r="S62" s="9" t="n"/>
      <c r="T62" s="9" t="n"/>
      <c r="U62" s="9" t="n"/>
      <c r="V62" s="9" t="n"/>
    </row>
  </sheetData>
  <mergeCells count="1">
    <mergeCell ref="A1:V1"/>
  </mergeCells>
  <dataValidations count="1">
    <dataValidation sqref="T3:T62" showDropDown="0" showInputMessage="0" showErrorMessage="0" allowBlank="1" type="list">
      <formula1>"합격,불합격"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9" customWidth="1" min="4" max="4"/>
    <col width="9" customWidth="1" min="5" max="5"/>
    <col width="12" customWidth="1" min="6" max="6"/>
    <col width="18" customWidth="1" min="7" max="7"/>
    <col width="8" customWidth="1" min="8" max="8"/>
    <col width="11" customWidth="1" min="9" max="9"/>
    <col width="50" customWidth="1" min="10" max="10"/>
    <col width="16" customWidth="1" min="11" max="11"/>
  </cols>
  <sheetData>
    <row r="1" ht="18" customHeight="1">
      <c r="A1" s="4" t="inlineStr">
        <is>
          <t>※ 10. 13.(화) ~ 10. 18.(일) · 서류 합격 팀 대상 · 팀당 1회</t>
        </is>
      </c>
    </row>
    <row r="2" ht="30" customHeight="1">
      <c r="A2" s="5" t="inlineStr">
        <is>
          <t>연번</t>
        </is>
      </c>
      <c r="B2" s="5" t="inlineStr">
        <is>
          <t>팀명</t>
        </is>
      </c>
      <c r="C2" s="5" t="inlineStr">
        <is>
          <t>멘토링
일자</t>
        </is>
      </c>
      <c r="D2" s="5" t="inlineStr">
        <is>
          <t>시작</t>
        </is>
      </c>
      <c r="E2" s="5" t="inlineStr">
        <is>
          <t>종료</t>
        </is>
      </c>
      <c r="F2" s="5" t="inlineStr">
        <is>
          <t>멘토명</t>
        </is>
      </c>
      <c r="G2" s="5" t="inlineStr">
        <is>
          <t>소속</t>
        </is>
      </c>
      <c r="H2" s="5" t="inlineStr">
        <is>
          <t>참석
인원</t>
        </is>
      </c>
      <c r="I2" s="5" t="inlineStr">
        <is>
          <t>진행
방식</t>
        </is>
      </c>
      <c r="J2" s="5" t="inlineStr">
        <is>
          <t>멘토링 결과 요약 (개선 과제)</t>
        </is>
      </c>
      <c r="K2" s="5" t="inlineStr">
        <is>
          <t>비고</t>
        </is>
      </c>
    </row>
    <row r="3" ht="19" customHeight="1">
      <c r="A3" s="6" t="n">
        <v>1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19" customHeight="1">
      <c r="A4" s="8" t="n">
        <v>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19" customHeight="1">
      <c r="A5" s="6" t="n">
        <v>3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19" customHeight="1">
      <c r="A6" s="8" t="n">
        <v>4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19" customHeight="1">
      <c r="A7" s="6" t="n">
        <v>5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19" customHeight="1">
      <c r="A8" s="8" t="n">
        <v>6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19" customHeight="1">
      <c r="A9" s="6" t="n">
        <v>7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19" customHeight="1">
      <c r="A10" s="8" t="n">
        <v>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19" customHeight="1">
      <c r="A11" s="6" t="n">
        <v>9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19" customHeight="1">
      <c r="A12" s="8" t="n">
        <v>10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19" customHeight="1">
      <c r="A13" s="6" t="n">
        <v>11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19" customHeight="1">
      <c r="A14" s="8" t="n">
        <v>12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19" customHeight="1">
      <c r="A15" s="6" t="n">
        <v>13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19" customHeight="1">
      <c r="A16" s="8" t="n">
        <v>14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19" customHeight="1">
      <c r="A17" s="6" t="n">
        <v>15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19" customHeight="1">
      <c r="A18" s="8" t="n">
        <v>16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19" customHeight="1">
      <c r="A19" s="6" t="n">
        <v>17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19" customHeight="1">
      <c r="A20" s="8" t="n">
        <v>18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19" customHeight="1">
      <c r="A21" s="6" t="n">
        <v>19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19" customHeight="1">
      <c r="A22" s="8" t="n">
        <v>20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19" customHeight="1">
      <c r="A23" s="6" t="n">
        <v>21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19" customHeight="1">
      <c r="A24" s="8" t="n">
        <v>22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19" customHeight="1">
      <c r="A25" s="6" t="n">
        <v>23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19" customHeight="1">
      <c r="A26" s="8" t="n">
        <v>24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19" customHeight="1">
      <c r="A27" s="6" t="n">
        <v>25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19" customHeight="1">
      <c r="A28" s="8" t="n">
        <v>26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19" customHeight="1">
      <c r="A29" s="6" t="n">
        <v>27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19" customHeight="1">
      <c r="A30" s="8" t="n">
        <v>28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19" customHeight="1">
      <c r="A31" s="6" t="n">
        <v>29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19" customHeight="1">
      <c r="A32" s="8" t="n">
        <v>30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</sheetData>
  <mergeCells count="1">
    <mergeCell ref="A1:K1"/>
  </mergeCells>
  <dataValidations count="1">
    <dataValidation sqref="I3:I32" showDropDown="0" showInputMessage="0" showErrorMessage="0" allowBlank="1" type="list">
      <formula1>"Zoom,Google Meet,기타"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11" customWidth="1" min="4" max="4"/>
    <col width="16" customWidth="1" min="5" max="5"/>
    <col width="24" customWidth="1" min="6" max="6"/>
    <col width="8" customWidth="1" min="7" max="7"/>
    <col width="9" customWidth="1" min="8" max="8"/>
    <col width="14" customWidth="1" min="9" max="9"/>
    <col width="20" customWidth="1" min="10" max="10"/>
  </cols>
  <sheetData>
    <row r="1" ht="18" customHeight="1">
      <c r="A1" s="4" t="inlineStr">
        <is>
          <t>※ 10. 22.(목) · 학생·심사위원·스태프를 구분해 함께 기록합니다.</t>
        </is>
      </c>
    </row>
    <row r="2" ht="30" customHeight="1">
      <c r="A2" s="5" t="inlineStr">
        <is>
          <t>연번</t>
        </is>
      </c>
      <c r="B2" s="5" t="inlineStr">
        <is>
          <t>구분</t>
        </is>
      </c>
      <c r="C2" s="5" t="inlineStr">
        <is>
          <t>팀명 / 소속</t>
        </is>
      </c>
      <c r="D2" s="5" t="inlineStr">
        <is>
          <t>성명</t>
        </is>
      </c>
      <c r="E2" s="5" t="inlineStr">
        <is>
          <t>연락처</t>
        </is>
      </c>
      <c r="F2" s="5" t="inlineStr">
        <is>
          <t>이메일</t>
        </is>
      </c>
      <c r="G2" s="5" t="inlineStr">
        <is>
          <t>발표
순서</t>
        </is>
      </c>
      <c r="H2" s="5" t="inlineStr">
        <is>
          <t>참석
확인</t>
        </is>
      </c>
      <c r="I2" s="5" t="inlineStr">
        <is>
          <t>수상</t>
        </is>
      </c>
      <c r="J2" s="5" t="inlineStr">
        <is>
          <t>비고</t>
        </is>
      </c>
    </row>
    <row r="3" ht="19" customHeight="1">
      <c r="A3" s="6" t="n">
        <v>1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 ht="19" customHeight="1">
      <c r="A4" s="8" t="n">
        <v>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 ht="19" customHeight="1">
      <c r="A5" s="6" t="n">
        <v>3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 ht="19" customHeight="1">
      <c r="A6" s="8" t="n">
        <v>4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 ht="19" customHeight="1">
      <c r="A7" s="6" t="n">
        <v>5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9" customHeight="1">
      <c r="A8" s="8" t="n">
        <v>6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19" customHeight="1">
      <c r="A9" s="6" t="n">
        <v>7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9" customHeight="1">
      <c r="A10" s="8" t="n">
        <v>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19" customHeight="1">
      <c r="A11" s="6" t="n">
        <v>9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9" customHeight="1">
      <c r="A12" s="8" t="n">
        <v>10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19" customHeight="1">
      <c r="A13" s="6" t="n">
        <v>11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9" customHeight="1">
      <c r="A14" s="8" t="n">
        <v>12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19" customHeight="1">
      <c r="A15" s="6" t="n">
        <v>13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9" customHeight="1">
      <c r="A16" s="8" t="n">
        <v>14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9" customHeight="1">
      <c r="A17" s="6" t="n">
        <v>15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19" customHeight="1">
      <c r="A18" s="8" t="n">
        <v>16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19" customHeight="1">
      <c r="A19" s="6" t="n">
        <v>17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19" customHeight="1">
      <c r="A20" s="8" t="n">
        <v>18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19" customHeight="1">
      <c r="A21" s="6" t="n">
        <v>19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19" customHeight="1">
      <c r="A22" s="8" t="n">
        <v>20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19" customHeight="1">
      <c r="A23" s="6" t="n">
        <v>21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19" customHeight="1">
      <c r="A24" s="8" t="n">
        <v>22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19" customHeight="1">
      <c r="A25" s="6" t="n">
        <v>23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19" customHeight="1">
      <c r="A26" s="8" t="n">
        <v>24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19" customHeight="1">
      <c r="A27" s="6" t="n">
        <v>25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19" customHeight="1">
      <c r="A28" s="8" t="n">
        <v>26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19" customHeight="1">
      <c r="A29" s="6" t="n">
        <v>27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9" customHeight="1">
      <c r="A30" s="8" t="n">
        <v>28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19" customHeight="1">
      <c r="A31" s="6" t="n">
        <v>29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19" customHeight="1">
      <c r="A32" s="8" t="n">
        <v>30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19" customHeight="1">
      <c r="A33" s="6" t="n">
        <v>31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19" customHeight="1">
      <c r="A34" s="8" t="n">
        <v>32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19" customHeight="1">
      <c r="A35" s="6" t="n">
        <v>33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19" customHeight="1">
      <c r="A36" s="8" t="n">
        <v>34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19" customHeight="1">
      <c r="A37" s="6" t="n">
        <v>35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19" customHeight="1">
      <c r="A38" s="8" t="n">
        <v>36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19" customHeight="1">
      <c r="A39" s="6" t="n">
        <v>37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19" customHeight="1">
      <c r="A40" s="8" t="n">
        <v>38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19" customHeight="1">
      <c r="A41" s="6" t="n">
        <v>39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19" customHeight="1">
      <c r="A42" s="8" t="n">
        <v>40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19" customHeight="1">
      <c r="A43" s="6" t="n">
        <v>41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19" customHeight="1">
      <c r="A44" s="8" t="n">
        <v>42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19" customHeight="1">
      <c r="A45" s="6" t="n">
        <v>43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19" customHeight="1">
      <c r="A46" s="8" t="n">
        <v>44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19" customHeight="1">
      <c r="A47" s="6" t="n">
        <v>45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19" customHeight="1">
      <c r="A48" s="8" t="n">
        <v>46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19" customHeight="1">
      <c r="A49" s="6" t="n">
        <v>47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19" customHeight="1">
      <c r="A50" s="8" t="n">
        <v>48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19" customHeight="1">
      <c r="A51" s="6" t="n">
        <v>49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19" customHeight="1">
      <c r="A52" s="8" t="n">
        <v>50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19" customHeight="1">
      <c r="A53" s="6" t="n">
        <v>51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19" customHeight="1">
      <c r="A54" s="8" t="n">
        <v>52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19" customHeight="1">
      <c r="A55" s="6" t="n">
        <v>53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19" customHeight="1">
      <c r="A56" s="8" t="n">
        <v>54</v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19" customHeight="1">
      <c r="A57" s="6" t="n">
        <v>55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19" customHeight="1">
      <c r="A58" s="8" t="n">
        <v>56</v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19" customHeight="1">
      <c r="A59" s="6" t="n">
        <v>57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19" customHeight="1">
      <c r="A60" s="8" t="n">
        <v>58</v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19" customHeight="1">
      <c r="A61" s="6" t="n">
        <v>59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19" customHeight="1">
      <c r="A62" s="8" t="n">
        <v>60</v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</sheetData>
  <mergeCells count="1">
    <mergeCell ref="A1:J1"/>
  </mergeCells>
  <dataValidations count="3">
    <dataValidation sqref="B3:B62" showDropDown="0" showInputMessage="0" showErrorMessage="0" allowBlank="1" type="list">
      <formula1>"참가학생,심사위원,스태프,내빈"</formula1>
    </dataValidation>
    <dataValidation sqref="H3:H62" showDropDown="0" showInputMessage="0" showErrorMessage="0" allowBlank="1" type="list">
      <formula1>"Y,N"</formula1>
    </dataValidation>
    <dataValidation sqref="I3:I62" showDropDown="0" showInputMessage="0" showErrorMessage="0" allowBlank="1" type="list">
      <formula1>"대상,최우수상,우수상,장려상"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1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6" customWidth="1" min="4" max="4"/>
  </cols>
  <sheetData>
    <row r="2">
      <c r="B2" s="1" t="inlineStr">
        <is>
          <t>집계</t>
        </is>
      </c>
    </row>
    <row r="4" ht="20" customHeight="1">
      <c r="B4" s="10" t="inlineStr">
        <is>
          <t>창업 특강 참석자</t>
        </is>
      </c>
      <c r="C4" s="11">
        <f>COUNTA(창업특강_참석!B3:B202)</f>
        <v/>
      </c>
      <c r="D4" s="12" t="inlineStr">
        <is>
          <t>명 · 9. 28.(월) 12:00~14:00</t>
        </is>
      </c>
    </row>
    <row r="5" ht="20" customHeight="1">
      <c r="B5" s="10" t="inlineStr">
        <is>
          <t>개인정보 동의 확인</t>
        </is>
      </c>
      <c r="C5" s="11">
        <f>COUNTIF(창업특강_참석!H3:H202,"Y")</f>
        <v/>
      </c>
      <c r="D5" s="12" t="inlineStr">
        <is>
          <t>명</t>
        </is>
      </c>
    </row>
    <row r="7" ht="20" customHeight="1">
      <c r="B7" s="10" t="inlineStr">
        <is>
          <t>서류 접수 팀</t>
        </is>
      </c>
      <c r="C7" s="11">
        <f>COUNTA(참가팀_명단!B3:B62)</f>
        <v/>
      </c>
      <c r="D7" s="12" t="inlineStr">
        <is>
          <t>팀 · 마감 10. 9.(금)</t>
        </is>
      </c>
    </row>
    <row r="8" ht="20" customHeight="1">
      <c r="B8" s="10" t="inlineStr">
        <is>
          <t>사업계획서 제출 완료</t>
        </is>
      </c>
      <c r="C8" s="11">
        <f>COUNTIF(참가팀_명단!M3:M62,"Y")</f>
        <v/>
      </c>
      <c r="D8" s="12" t="inlineStr">
        <is>
          <t>팀</t>
        </is>
      </c>
    </row>
    <row r="9" ht="20" customHeight="1">
      <c r="B9" s="10" t="inlineStr">
        <is>
          <t>참가 인원 (팀원 포함)</t>
        </is>
      </c>
      <c r="C9" s="11">
        <f>COUNTA(참가팀_명단!D3:D62)+COUNTA(참가팀_명단!J3:J62)+COUNTA(참가팀_명단!K3:K62)+COUNTA(참가팀_명단!L3:L62)</f>
        <v/>
      </c>
      <c r="D9" s="12" t="inlineStr">
        <is>
          <t>명</t>
        </is>
      </c>
    </row>
    <row r="11" ht="20" customHeight="1">
      <c r="B11" s="10" t="inlineStr">
        <is>
          <t>서류 합격 팀</t>
        </is>
      </c>
      <c r="C11" s="11">
        <f>COUNTIF(서류심사_결과!T3:T62,"합격")</f>
        <v/>
      </c>
      <c r="D11" s="12" t="inlineStr">
        <is>
          <t>팀 · 발표 10. 12.(월)</t>
        </is>
      </c>
    </row>
    <row r="12" ht="20" customHeight="1">
      <c r="B12" s="10" t="inlineStr">
        <is>
          <t>멘토링 완료 팀</t>
        </is>
      </c>
      <c r="C12" s="11">
        <f>COUNTA(온라인멘토링!B3:B32)</f>
        <v/>
      </c>
      <c r="D12" s="12" t="inlineStr">
        <is>
          <t>팀 · 10. 13. ~ 10. 18.</t>
        </is>
      </c>
    </row>
    <row r="14" ht="20" customHeight="1">
      <c r="B14" s="10" t="inlineStr">
        <is>
          <t>최종발표 참석 (전체)</t>
        </is>
      </c>
      <c r="C14" s="11">
        <f>COUNTIF(최종발표_참석!H3:H62,"Y")</f>
        <v/>
      </c>
      <c r="D14" s="12" t="inlineStr">
        <is>
          <t>명 · 10. 22.(목)</t>
        </is>
      </c>
    </row>
    <row r="15" ht="20" customHeight="1">
      <c r="B15" s="13" t="inlineStr">
        <is>
          <t xml:space="preserve">  ├ 참가 학생</t>
        </is>
      </c>
      <c r="C15" s="11">
        <f>COUNTIFS(최종발표_참석!B3:B62,"참가학생",최종발표_참석!H3:H62,"Y")</f>
        <v/>
      </c>
      <c r="D15" s="12" t="inlineStr">
        <is>
          <t>명</t>
        </is>
      </c>
    </row>
    <row r="16" ht="20" customHeight="1">
      <c r="B16" s="13" t="inlineStr">
        <is>
          <t xml:space="preserve">  ├ 심사위원</t>
        </is>
      </c>
      <c r="C16" s="11">
        <f>COUNTIFS(최종발표_참석!B3:B62,"심사위원",최종발표_참석!H3:H62,"Y")</f>
        <v/>
      </c>
      <c r="D16" s="12" t="inlineStr">
        <is>
          <t>명</t>
        </is>
      </c>
    </row>
    <row r="17" ht="20" customHeight="1">
      <c r="B17" s="13" t="inlineStr">
        <is>
          <t xml:space="preserve">  └ 스태프</t>
        </is>
      </c>
      <c r="C17" s="11">
        <f>COUNTIFS(최종발표_참석!B3:B62,"스태프",최종발표_참석!H3:H62,"Y")</f>
        <v/>
      </c>
      <c r="D17" s="12" t="inlineStr">
        <is>
          <t>명</t>
        </is>
      </c>
    </row>
    <row r="19" ht="20" customHeight="1">
      <c r="B19" s="10" t="inlineStr">
        <is>
          <t>수상 팀</t>
        </is>
      </c>
      <c r="C19" s="11">
        <f>COUNTA(최종발표_참석!I3:I62)</f>
        <v/>
      </c>
      <c r="D19" s="12" t="inlineStr">
        <is>
          <t>팀 · 총 10팀 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2026-09-28T00:50:08Z</dcterms:created>
  <dcterms:modified xmlns:dcterms="http://purl.org/dc/terms/" xmlns:xsi="http://www.w3.org/2001/XMLSchema-instance" xsi:type="dcterms:W3CDTF">2026-09-28T00:50:08Z</dcterms:modified>
</cp:coreProperties>
</file>