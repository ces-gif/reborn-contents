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창업특강_참석" sheetId="2" state="visible" r:id="rId2"/>
    <sheet xmlns:r="http://schemas.openxmlformats.org/officeDocument/2006/relationships" name="참가팀_명단" sheetId="3" state="visible" r:id="rId3"/>
    <sheet xmlns:r="http://schemas.openxmlformats.org/officeDocument/2006/relationships" name="서류심사_결과" sheetId="4" state="visible" r:id="rId4"/>
    <sheet xmlns:r="http://schemas.openxmlformats.org/officeDocument/2006/relationships" name="온라인멘토링" sheetId="5" state="visible" r:id="rId5"/>
    <sheet xmlns:r="http://schemas.openxmlformats.org/officeDocument/2006/relationships" name="최종발표_참석" sheetId="6" state="visible" r:id="rId6"/>
    <sheet xmlns:r="http://schemas.openxmlformats.org/officeDocument/2006/relationships" name="집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17365D"/>
      <sz val="14"/>
    </font>
    <font>
      <name val="맑은 고딕"/>
      <b val="1"/>
      <color rgb="0017365D"/>
      <sz val="11"/>
    </font>
    <font>
      <name val="맑은 고딕"/>
      <sz val="10"/>
    </font>
    <font>
      <name val="맑은 고딕"/>
      <color rgb="009C2A2A"/>
      <sz val="9"/>
    </font>
    <font>
      <name val="맑은 고딕"/>
      <b val="1"/>
      <color rgb="00FFFFFF"/>
      <sz val="10"/>
    </font>
    <font>
      <name val="맑은 고딕"/>
      <b val="1"/>
      <sz val="11"/>
    </font>
    <font>
      <name val="맑은 고딕"/>
      <color rgb="00767676"/>
      <sz val="10"/>
    </font>
    <font>
      <name val="맑은 고딕"/>
      <sz val="11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7F9FC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4BDC7"/>
      </left>
      <right style="thin">
        <color rgb="00B4BDC7"/>
      </right>
      <top style="thin">
        <color rgb="00B4BDC7"/>
      </top>
      <bottom style="thin">
        <color rgb="00B4BDC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6" fillId="0" borderId="0" pivotButton="0" quotePrefix="0" xfId="0"/>
    <xf numFmtId="0" fontId="2" fillId="4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6" customHeight="1">
      <c r="B2" s="1" t="inlineStr">
        <is>
          <t>2026년 고양시 바이브 코딩 창업경진대회 — 참가자 DB 및 참석자 명단</t>
        </is>
      </c>
    </row>
    <row r="4">
      <c r="B4" s="2" t="inlineStr">
        <is>
          <t>이 파일의 용도</t>
        </is>
      </c>
    </row>
    <row r="5">
      <c r="B5" s="3" t="inlineStr">
        <is>
          <t>과업지시서 Ⅲ-가의 「참가자 DB(소속·학번·연락처·팀 구성 여부) 구축」과</t>
        </is>
      </c>
    </row>
    <row r="6">
      <c r="B6" s="3" t="inlineStr">
        <is>
          <t>결과보고·정산 시 제출하는 행사별 참석자 명단을 하나로 관리하는 대장입니다.</t>
        </is>
      </c>
    </row>
    <row r="8">
      <c r="B8" s="2" t="inlineStr">
        <is>
          <t>시트 구성</t>
        </is>
      </c>
    </row>
    <row r="9">
      <c r="B9" s="3" t="inlineStr">
        <is>
          <t>① 창업특강_참석  9. 28.(월) 특강 참석자 — 현장 서명부를 받아 옮겨 적는 시트</t>
        </is>
      </c>
    </row>
    <row r="10">
      <c r="B10" s="3" t="inlineStr">
        <is>
          <t>② 참가팀_명단    서류 접수 팀 전체 — 구글폼 응답을 붙여넣어 관리</t>
        </is>
      </c>
    </row>
    <row r="11">
      <c r="B11" s="3" t="inlineStr">
        <is>
          <t>③ 서류심사_결과  예선 평가 점수와 합격 여부</t>
        </is>
      </c>
    </row>
    <row r="12">
      <c r="B12" s="3" t="inlineStr">
        <is>
          <t>④ 온라인멘토링   10. 13.(화)~10. 18.(일) 팀별 멘토링 진행 기록</t>
        </is>
      </c>
    </row>
    <row r="13">
      <c r="B13" s="3" t="inlineStr">
        <is>
          <t>⑤ 최종발표_참석  10. 22.(목) 발표 평가 및 시상 참석</t>
        </is>
      </c>
    </row>
    <row r="14">
      <c r="B14" s="3" t="inlineStr">
        <is>
          <t>⑥ 집계          위 시트를 자동 집계 (수식이 들어 있으니 덮어쓰지 마세요)</t>
        </is>
      </c>
    </row>
    <row r="16">
      <c r="B16" s="2" t="inlineStr">
        <is>
          <t>쓰는 법</t>
        </is>
      </c>
    </row>
    <row r="17">
      <c r="B17" s="3" t="inlineStr">
        <is>
          <t>· 구글폼 응답 시트를 열어 필요한 열만 복사해 「참가팀_명단」에 값 붙여넣기 하세요.</t>
        </is>
      </c>
    </row>
    <row r="18">
      <c r="B18" s="3" t="inlineStr">
        <is>
          <t>· 회색 드롭다운이 걸린 칸은 목록에서 고르시면 집계가 자동으로 맞습니다.</t>
        </is>
      </c>
    </row>
    <row r="19">
      <c r="B19" s="3" t="inlineStr">
        <is>
          <t>· 행이 모자라면 마지막 행을 복사해 아래로 늘리세요. 연번과 테두리가 같이 따라옵니다.</t>
        </is>
      </c>
    </row>
    <row r="21">
      <c r="B21" s="2" t="inlineStr">
        <is>
          <t>개인정보 취급</t>
        </is>
      </c>
    </row>
    <row r="22">
      <c r="B22" s="3" t="inlineStr">
        <is>
          <t>· 수집 목적(참석 확인·결과보고·정산) 외의 용도로 쓰지 않습니다.</t>
        </is>
      </c>
    </row>
    <row r="23">
      <c r="B23" s="3" t="inlineStr">
        <is>
          <t>· 사업 종료 및 정산 완료 후 6개월 이내에 파기합니다.</t>
        </is>
      </c>
    </row>
    <row r="24">
      <c r="B24" s="3" t="inlineStr">
        <is>
          <t>· 파일을 외부로 보낼 때는 연락처·이메일 열을 지우거나 가린 사본을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20" customWidth="1" min="4" max="4"/>
    <col width="8" customWidth="1" min="5" max="5"/>
    <col width="14" customWidth="1" min="6" max="6"/>
    <col width="16" customWidth="1" min="7" max="7"/>
    <col width="26" customWidth="1" min="8" max="8"/>
    <col width="10" customWidth="1" min="9" max="9"/>
    <col width="8" customWidth="1" min="10" max="10"/>
    <col width="20" customWidth="1" min="11" max="11"/>
  </cols>
  <sheetData>
    <row r="1" ht="18" customHeight="1">
      <c r="A1" s="4" t="inlineStr">
        <is>
          <t>※ 9. 28.(월) 현장 서명부(창업특강_참석자명단.pdf)를 받아 이곳에 옮겨 적습니다.</t>
        </is>
      </c>
    </row>
    <row r="2" ht="30" customHeight="1">
      <c r="A2" s="5" t="inlineStr">
        <is>
          <t>연번</t>
        </is>
      </c>
      <c r="B2" s="5" t="inlineStr">
        <is>
          <t>성명</t>
        </is>
      </c>
      <c r="C2" s="5" t="inlineStr">
        <is>
          <t>소속 대학</t>
        </is>
      </c>
      <c r="D2" s="5" t="inlineStr">
        <is>
          <t>학과</t>
        </is>
      </c>
      <c r="E2" s="5" t="inlineStr">
        <is>
          <t>학년</t>
        </is>
      </c>
      <c r="F2" s="5" t="inlineStr">
        <is>
          <t>학번</t>
        </is>
      </c>
      <c r="G2" s="5" t="inlineStr">
        <is>
          <t>연락처</t>
        </is>
      </c>
      <c r="H2" s="5" t="inlineStr">
        <is>
          <t>이메일</t>
        </is>
      </c>
      <c r="I2" s="5" t="inlineStr">
        <is>
          <t>개인정보
동의</t>
        </is>
      </c>
      <c r="J2" s="5" t="inlineStr">
        <is>
          <t>서명
확인</t>
        </is>
      </c>
      <c r="K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9" customHeight="1">
      <c r="A63" s="6" t="n">
        <v>61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 ht="19" customHeight="1">
      <c r="A64" s="8" t="n">
        <v>62</v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9" customHeight="1">
      <c r="A65" s="6" t="n">
        <v>63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 ht="19" customHeight="1">
      <c r="A66" s="8" t="n">
        <v>64</v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9" customHeight="1">
      <c r="A67" s="6" t="n">
        <v>65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8" ht="19" customHeight="1">
      <c r="A68" s="8" t="n">
        <v>66</v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9" customHeight="1">
      <c r="A69" s="6" t="n">
        <v>67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</row>
    <row r="70" ht="19" customHeight="1">
      <c r="A70" s="8" t="n">
        <v>68</v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9" customHeight="1">
      <c r="A71" s="6" t="n">
        <v>69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  <row r="72" ht="19" customHeight="1">
      <c r="A72" s="8" t="n">
        <v>70</v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9" customHeight="1">
      <c r="A73" s="6" t="n">
        <v>71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</row>
    <row r="74" ht="19" customHeight="1">
      <c r="A74" s="8" t="n">
        <v>72</v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9" customHeight="1">
      <c r="A75" s="6" t="n">
        <v>73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</row>
    <row r="76" ht="19" customHeight="1">
      <c r="A76" s="8" t="n">
        <v>74</v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9" customHeight="1">
      <c r="A77" s="6" t="n">
        <v>75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</row>
    <row r="78" ht="19" customHeight="1">
      <c r="A78" s="8" t="n">
        <v>76</v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9" customHeight="1">
      <c r="A79" s="6" t="n">
        <v>77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</row>
    <row r="80" ht="19" customHeight="1">
      <c r="A80" s="8" t="n">
        <v>78</v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9" customHeight="1">
      <c r="A81" s="6" t="n">
        <v>79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</row>
    <row r="82" ht="19" customHeight="1">
      <c r="A82" s="8" t="n">
        <v>80</v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9" customHeight="1">
      <c r="A83" s="6" t="n">
        <v>81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</row>
    <row r="84" ht="19" customHeight="1">
      <c r="A84" s="8" t="n">
        <v>82</v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9" customHeight="1">
      <c r="A85" s="6" t="n">
        <v>83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</row>
    <row r="86" ht="19" customHeight="1">
      <c r="A86" s="8" t="n">
        <v>84</v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9" customHeight="1">
      <c r="A87" s="6" t="n">
        <v>85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</row>
    <row r="88" ht="19" customHeight="1">
      <c r="A88" s="8" t="n">
        <v>86</v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9" customHeight="1">
      <c r="A89" s="6" t="n">
        <v>87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  <row r="90" ht="19" customHeight="1">
      <c r="A90" s="8" t="n">
        <v>88</v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9" customHeight="1">
      <c r="A91" s="6" t="n">
        <v>89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</row>
    <row r="92" ht="19" customHeight="1">
      <c r="A92" s="8" t="n">
        <v>90</v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</sheetData>
  <mergeCells count="1">
    <mergeCell ref="A1:K1"/>
  </mergeCells>
  <dataValidations count="2">
    <dataValidation sqref="I3:I92" showDropDown="0" showInputMessage="0" showErrorMessage="0" allowBlank="1" type="list">
      <formula1>"Y,N"</formula1>
    </dataValidation>
    <dataValidation sqref="J3:J9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0" customWidth="1" min="4" max="4"/>
    <col width="18" customWidth="1" min="5" max="5"/>
    <col width="18" customWidth="1" min="6" max="6"/>
    <col width="16" customWidth="1" min="7" max="7"/>
    <col width="26" customWidth="1" min="8" max="8"/>
    <col width="40" customWidth="1" min="9" max="9"/>
    <col width="22" customWidth="1" min="10" max="10"/>
    <col width="22" customWidth="1" min="11" max="11"/>
    <col width="22" customWidth="1" min="12" max="12"/>
    <col width="11" customWidth="1" min="13" max="13"/>
    <col width="9" customWidth="1" min="14" max="14"/>
    <col width="20" customWidth="1" min="15" max="15"/>
    <col width="18" customWidth="1" min="16" max="16"/>
  </cols>
  <sheetData>
    <row r="1" ht="18" customHeight="1">
      <c r="A1" s="4" t="inlineStr">
        <is>
          <t>※ 구글폼 응답 시트에서 값만 복사해 붙여넣으세요. 접수 마감 10. 9.(금) 18:00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참가
형태</t>
        </is>
      </c>
      <c r="D2" s="5" t="inlineStr">
        <is>
          <t>대표자</t>
        </is>
      </c>
      <c r="E2" s="5" t="inlineStr">
        <is>
          <t>소속 대학</t>
        </is>
      </c>
      <c r="F2" s="5" t="inlineStr">
        <is>
          <t>학과 / 학년</t>
        </is>
      </c>
      <c r="G2" s="5" t="inlineStr">
        <is>
          <t>연락처</t>
        </is>
      </c>
      <c r="H2" s="5" t="inlineStr">
        <is>
          <t>이메일</t>
        </is>
      </c>
      <c r="I2" s="5" t="inlineStr">
        <is>
          <t>아이템 한 줄 소개</t>
        </is>
      </c>
      <c r="J2" s="5" t="inlineStr">
        <is>
          <t>팀원 2</t>
        </is>
      </c>
      <c r="K2" s="5" t="inlineStr">
        <is>
          <t>팀원 3</t>
        </is>
      </c>
      <c r="L2" s="5" t="inlineStr">
        <is>
          <t>팀원 4</t>
        </is>
      </c>
      <c r="M2" s="5" t="inlineStr">
        <is>
          <t>사업계획서
제출</t>
        </is>
      </c>
      <c r="N2" s="5" t="inlineStr">
        <is>
          <t>특강
참석</t>
        </is>
      </c>
      <c r="O2" s="5" t="inlineStr">
        <is>
          <t>멘토링 가능
시간대</t>
        </is>
      </c>
      <c r="P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</row>
  </sheetData>
  <mergeCells count="1">
    <mergeCell ref="A1:P1"/>
  </mergeCells>
  <dataValidations count="3">
    <dataValidation sqref="C3:C62" showDropDown="0" showInputMessage="0" showErrorMessage="0" allowBlank="1" type="list">
      <formula1>"개인,2인,3인,4인"</formula1>
    </dataValidation>
    <dataValidation sqref="M3:M62" showDropDown="0" showInputMessage="0" showErrorMessage="0" allowBlank="1" type="list">
      <formula1>"Y,N"</formula1>
    </dataValidation>
    <dataValidation sqref="N3:N6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13" customWidth="1" min="4" max="4"/>
    <col width="13" customWidth="1" min="5" max="5"/>
    <col width="10" customWidth="1" min="6" max="6"/>
    <col width="8" customWidth="1" min="7" max="7"/>
    <col width="9" customWidth="1" min="8" max="8"/>
    <col width="12" customWidth="1" min="9" max="9"/>
    <col width="44" customWidth="1" min="10" max="10"/>
  </cols>
  <sheetData>
    <row r="1" ht="18" customHeight="1">
      <c r="A1" s="4" t="inlineStr">
        <is>
          <t>※ 서류 합격자 발표 10. 12.(월) · 합격 팀에 이메일 개별 통보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대표자</t>
        </is>
      </c>
      <c r="D2" s="5" t="inlineStr">
        <is>
          <t>심사위원 1
점수</t>
        </is>
      </c>
      <c r="E2" s="5" t="inlineStr">
        <is>
          <t>심사위원 2
점수</t>
        </is>
      </c>
      <c r="F2" s="5" t="inlineStr">
        <is>
          <t>평균</t>
        </is>
      </c>
      <c r="G2" s="5" t="inlineStr">
        <is>
          <t>순위</t>
        </is>
      </c>
      <c r="H2" s="5" t="inlineStr">
        <is>
          <t>합격
여부</t>
        </is>
      </c>
      <c r="I2" s="5" t="inlineStr">
        <is>
          <t>통보일</t>
        </is>
      </c>
      <c r="J2" s="5" t="inlineStr">
        <is>
          <t>심사 의견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>
        <f>IF(COUNT(D3:E3)=0,"",ROUND(AVERAGE(D3:E3),1))</f>
        <v/>
      </c>
      <c r="G3" s="7" t="n"/>
      <c r="H3" s="7" t="n"/>
      <c r="I3" s="7" t="n"/>
      <c r="J3" s="7" t="n"/>
    </row>
    <row r="4" ht="19" customHeight="1">
      <c r="A4" s="8" t="n">
        <v>2</v>
      </c>
      <c r="B4" s="9" t="n"/>
      <c r="C4" s="9" t="n"/>
      <c r="D4" s="9" t="n"/>
      <c r="E4" s="9" t="n"/>
      <c r="F4" s="9">
        <f>IF(COUNT(D4:E4)=0,"",ROUND(AVERAGE(D4:E4),1))</f>
        <v/>
      </c>
      <c r="G4" s="9" t="n"/>
      <c r="H4" s="9" t="n"/>
      <c r="I4" s="9" t="n"/>
      <c r="J4" s="9" t="n"/>
    </row>
    <row r="5" ht="19" customHeight="1">
      <c r="A5" s="6" t="n">
        <v>3</v>
      </c>
      <c r="B5" s="7" t="n"/>
      <c r="C5" s="7" t="n"/>
      <c r="D5" s="7" t="n"/>
      <c r="E5" s="7" t="n"/>
      <c r="F5" s="7">
        <f>IF(COUNT(D5:E5)=0,"",ROUND(AVERAGE(D5:E5),1))</f>
        <v/>
      </c>
      <c r="G5" s="7" t="n"/>
      <c r="H5" s="7" t="n"/>
      <c r="I5" s="7" t="n"/>
      <c r="J5" s="7" t="n"/>
    </row>
    <row r="6" ht="19" customHeight="1">
      <c r="A6" s="8" t="n">
        <v>4</v>
      </c>
      <c r="B6" s="9" t="n"/>
      <c r="C6" s="9" t="n"/>
      <c r="D6" s="9" t="n"/>
      <c r="E6" s="9" t="n"/>
      <c r="F6" s="9">
        <f>IF(COUNT(D6:E6)=0,"",ROUND(AVERAGE(D6:E6),1))</f>
        <v/>
      </c>
      <c r="G6" s="9" t="n"/>
      <c r="H6" s="9" t="n"/>
      <c r="I6" s="9" t="n"/>
      <c r="J6" s="9" t="n"/>
    </row>
    <row r="7" ht="19" customHeight="1">
      <c r="A7" s="6" t="n">
        <v>5</v>
      </c>
      <c r="B7" s="7" t="n"/>
      <c r="C7" s="7" t="n"/>
      <c r="D7" s="7" t="n"/>
      <c r="E7" s="7" t="n"/>
      <c r="F7" s="7">
        <f>IF(COUNT(D7:E7)=0,"",ROUND(AVERAGE(D7:E7),1))</f>
        <v/>
      </c>
      <c r="G7" s="7" t="n"/>
      <c r="H7" s="7" t="n"/>
      <c r="I7" s="7" t="n"/>
      <c r="J7" s="7" t="n"/>
    </row>
    <row r="8" ht="19" customHeight="1">
      <c r="A8" s="8" t="n">
        <v>6</v>
      </c>
      <c r="B8" s="9" t="n"/>
      <c r="C8" s="9" t="n"/>
      <c r="D8" s="9" t="n"/>
      <c r="E8" s="9" t="n"/>
      <c r="F8" s="9">
        <f>IF(COUNT(D8:E8)=0,"",ROUND(AVERAGE(D8:E8),1))</f>
        <v/>
      </c>
      <c r="G8" s="9" t="n"/>
      <c r="H8" s="9" t="n"/>
      <c r="I8" s="9" t="n"/>
      <c r="J8" s="9" t="n"/>
    </row>
    <row r="9" ht="19" customHeight="1">
      <c r="A9" s="6" t="n">
        <v>7</v>
      </c>
      <c r="B9" s="7" t="n"/>
      <c r="C9" s="7" t="n"/>
      <c r="D9" s="7" t="n"/>
      <c r="E9" s="7" t="n"/>
      <c r="F9" s="7">
        <f>IF(COUNT(D9:E9)=0,"",ROUND(AVERAGE(D9:E9),1))</f>
        <v/>
      </c>
      <c r="G9" s="7" t="n"/>
      <c r="H9" s="7" t="n"/>
      <c r="I9" s="7" t="n"/>
      <c r="J9" s="7" t="n"/>
    </row>
    <row r="10" ht="19" customHeight="1">
      <c r="A10" s="8" t="n">
        <v>8</v>
      </c>
      <c r="B10" s="9" t="n"/>
      <c r="C10" s="9" t="n"/>
      <c r="D10" s="9" t="n"/>
      <c r="E10" s="9" t="n"/>
      <c r="F10" s="9">
        <f>IF(COUNT(D10:E10)=0,"",ROUND(AVERAGE(D10:E10),1))</f>
        <v/>
      </c>
      <c r="G10" s="9" t="n"/>
      <c r="H10" s="9" t="n"/>
      <c r="I10" s="9" t="n"/>
      <c r="J10" s="9" t="n"/>
    </row>
    <row r="11" ht="19" customHeight="1">
      <c r="A11" s="6" t="n">
        <v>9</v>
      </c>
      <c r="B11" s="7" t="n"/>
      <c r="C11" s="7" t="n"/>
      <c r="D11" s="7" t="n"/>
      <c r="E11" s="7" t="n"/>
      <c r="F11" s="7">
        <f>IF(COUNT(D11:E11)=0,"",ROUND(AVERAGE(D11:E11),1))</f>
        <v/>
      </c>
      <c r="G11" s="7" t="n"/>
      <c r="H11" s="7" t="n"/>
      <c r="I11" s="7" t="n"/>
      <c r="J11" s="7" t="n"/>
    </row>
    <row r="12" ht="19" customHeight="1">
      <c r="A12" s="8" t="n">
        <v>10</v>
      </c>
      <c r="B12" s="9" t="n"/>
      <c r="C12" s="9" t="n"/>
      <c r="D12" s="9" t="n"/>
      <c r="E12" s="9" t="n"/>
      <c r="F12" s="9">
        <f>IF(COUNT(D12:E12)=0,"",ROUND(AVERAGE(D12:E12),1))</f>
        <v/>
      </c>
      <c r="G12" s="9" t="n"/>
      <c r="H12" s="9" t="n"/>
      <c r="I12" s="9" t="n"/>
      <c r="J12" s="9" t="n"/>
    </row>
    <row r="13" ht="19" customHeight="1">
      <c r="A13" s="6" t="n">
        <v>11</v>
      </c>
      <c r="B13" s="7" t="n"/>
      <c r="C13" s="7" t="n"/>
      <c r="D13" s="7" t="n"/>
      <c r="E13" s="7" t="n"/>
      <c r="F13" s="7">
        <f>IF(COUNT(D13:E13)=0,"",ROUND(AVERAGE(D13:E13),1))</f>
        <v/>
      </c>
      <c r="G13" s="7" t="n"/>
      <c r="H13" s="7" t="n"/>
      <c r="I13" s="7" t="n"/>
      <c r="J13" s="7" t="n"/>
    </row>
    <row r="14" ht="19" customHeight="1">
      <c r="A14" s="8" t="n">
        <v>12</v>
      </c>
      <c r="B14" s="9" t="n"/>
      <c r="C14" s="9" t="n"/>
      <c r="D14" s="9" t="n"/>
      <c r="E14" s="9" t="n"/>
      <c r="F14" s="9">
        <f>IF(COUNT(D14:E14)=0,"",ROUND(AVERAGE(D14:E14),1))</f>
        <v/>
      </c>
      <c r="G14" s="9" t="n"/>
      <c r="H14" s="9" t="n"/>
      <c r="I14" s="9" t="n"/>
      <c r="J14" s="9" t="n"/>
    </row>
    <row r="15" ht="19" customHeight="1">
      <c r="A15" s="6" t="n">
        <v>13</v>
      </c>
      <c r="B15" s="7" t="n"/>
      <c r="C15" s="7" t="n"/>
      <c r="D15" s="7" t="n"/>
      <c r="E15" s="7" t="n"/>
      <c r="F15" s="7">
        <f>IF(COUNT(D15:E15)=0,"",ROUND(AVERAGE(D15:E15),1))</f>
        <v/>
      </c>
      <c r="G15" s="7" t="n"/>
      <c r="H15" s="7" t="n"/>
      <c r="I15" s="7" t="n"/>
      <c r="J15" s="7" t="n"/>
    </row>
    <row r="16" ht="19" customHeight="1">
      <c r="A16" s="8" t="n">
        <v>14</v>
      </c>
      <c r="B16" s="9" t="n"/>
      <c r="C16" s="9" t="n"/>
      <c r="D16" s="9" t="n"/>
      <c r="E16" s="9" t="n"/>
      <c r="F16" s="9">
        <f>IF(COUNT(D16:E16)=0,"",ROUND(AVERAGE(D16:E16),1))</f>
        <v/>
      </c>
      <c r="G16" s="9" t="n"/>
      <c r="H16" s="9" t="n"/>
      <c r="I16" s="9" t="n"/>
      <c r="J16" s="9" t="n"/>
    </row>
    <row r="17" ht="19" customHeight="1">
      <c r="A17" s="6" t="n">
        <v>15</v>
      </c>
      <c r="B17" s="7" t="n"/>
      <c r="C17" s="7" t="n"/>
      <c r="D17" s="7" t="n"/>
      <c r="E17" s="7" t="n"/>
      <c r="F17" s="7">
        <f>IF(COUNT(D17:E17)=0,"",ROUND(AVERAGE(D17:E17),1))</f>
        <v/>
      </c>
      <c r="G17" s="7" t="n"/>
      <c r="H17" s="7" t="n"/>
      <c r="I17" s="7" t="n"/>
      <c r="J17" s="7" t="n"/>
    </row>
    <row r="18" ht="19" customHeight="1">
      <c r="A18" s="8" t="n">
        <v>16</v>
      </c>
      <c r="B18" s="9" t="n"/>
      <c r="C18" s="9" t="n"/>
      <c r="D18" s="9" t="n"/>
      <c r="E18" s="9" t="n"/>
      <c r="F18" s="9">
        <f>IF(COUNT(D18:E18)=0,"",ROUND(AVERAGE(D18:E18),1))</f>
        <v/>
      </c>
      <c r="G18" s="9" t="n"/>
      <c r="H18" s="9" t="n"/>
      <c r="I18" s="9" t="n"/>
      <c r="J18" s="9" t="n"/>
    </row>
    <row r="19" ht="19" customHeight="1">
      <c r="A19" s="6" t="n">
        <v>17</v>
      </c>
      <c r="B19" s="7" t="n"/>
      <c r="C19" s="7" t="n"/>
      <c r="D19" s="7" t="n"/>
      <c r="E19" s="7" t="n"/>
      <c r="F19" s="7">
        <f>IF(COUNT(D19:E19)=0,"",ROUND(AVERAGE(D19:E19),1))</f>
        <v/>
      </c>
      <c r="G19" s="7" t="n"/>
      <c r="H19" s="7" t="n"/>
      <c r="I19" s="7" t="n"/>
      <c r="J19" s="7" t="n"/>
    </row>
    <row r="20" ht="19" customHeight="1">
      <c r="A20" s="8" t="n">
        <v>18</v>
      </c>
      <c r="B20" s="9" t="n"/>
      <c r="C20" s="9" t="n"/>
      <c r="D20" s="9" t="n"/>
      <c r="E20" s="9" t="n"/>
      <c r="F20" s="9">
        <f>IF(COUNT(D20:E20)=0,"",ROUND(AVERAGE(D20:E20),1))</f>
        <v/>
      </c>
      <c r="G20" s="9" t="n"/>
      <c r="H20" s="9" t="n"/>
      <c r="I20" s="9" t="n"/>
      <c r="J20" s="9" t="n"/>
    </row>
    <row r="21" ht="19" customHeight="1">
      <c r="A21" s="6" t="n">
        <v>19</v>
      </c>
      <c r="B21" s="7" t="n"/>
      <c r="C21" s="7" t="n"/>
      <c r="D21" s="7" t="n"/>
      <c r="E21" s="7" t="n"/>
      <c r="F21" s="7">
        <f>IF(COUNT(D21:E21)=0,"",ROUND(AVERAGE(D21:E21),1))</f>
        <v/>
      </c>
      <c r="G21" s="7" t="n"/>
      <c r="H21" s="7" t="n"/>
      <c r="I21" s="7" t="n"/>
      <c r="J21" s="7" t="n"/>
    </row>
    <row r="22" ht="19" customHeight="1">
      <c r="A22" s="8" t="n">
        <v>20</v>
      </c>
      <c r="B22" s="9" t="n"/>
      <c r="C22" s="9" t="n"/>
      <c r="D22" s="9" t="n"/>
      <c r="E22" s="9" t="n"/>
      <c r="F22" s="9">
        <f>IF(COUNT(D22:E22)=0,"",ROUND(AVERAGE(D22:E22),1))</f>
        <v/>
      </c>
      <c r="G22" s="9" t="n"/>
      <c r="H22" s="9" t="n"/>
      <c r="I22" s="9" t="n"/>
      <c r="J22" s="9" t="n"/>
    </row>
    <row r="23" ht="19" customHeight="1">
      <c r="A23" s="6" t="n">
        <v>21</v>
      </c>
      <c r="B23" s="7" t="n"/>
      <c r="C23" s="7" t="n"/>
      <c r="D23" s="7" t="n"/>
      <c r="E23" s="7" t="n"/>
      <c r="F23" s="7">
        <f>IF(COUNT(D23:E23)=0,"",ROUND(AVERAGE(D23:E23),1))</f>
        <v/>
      </c>
      <c r="G23" s="7" t="n"/>
      <c r="H23" s="7" t="n"/>
      <c r="I23" s="7" t="n"/>
      <c r="J23" s="7" t="n"/>
    </row>
    <row r="24" ht="19" customHeight="1">
      <c r="A24" s="8" t="n">
        <v>22</v>
      </c>
      <c r="B24" s="9" t="n"/>
      <c r="C24" s="9" t="n"/>
      <c r="D24" s="9" t="n"/>
      <c r="E24" s="9" t="n"/>
      <c r="F24" s="9">
        <f>IF(COUNT(D24:E24)=0,"",ROUND(AVERAGE(D24:E24),1))</f>
        <v/>
      </c>
      <c r="G24" s="9" t="n"/>
      <c r="H24" s="9" t="n"/>
      <c r="I24" s="9" t="n"/>
      <c r="J24" s="9" t="n"/>
    </row>
    <row r="25" ht="19" customHeight="1">
      <c r="A25" s="6" t="n">
        <v>23</v>
      </c>
      <c r="B25" s="7" t="n"/>
      <c r="C25" s="7" t="n"/>
      <c r="D25" s="7" t="n"/>
      <c r="E25" s="7" t="n"/>
      <c r="F25" s="7">
        <f>IF(COUNT(D25:E25)=0,"",ROUND(AVERAGE(D25:E25),1))</f>
        <v/>
      </c>
      <c r="G25" s="7" t="n"/>
      <c r="H25" s="7" t="n"/>
      <c r="I25" s="7" t="n"/>
      <c r="J25" s="7" t="n"/>
    </row>
    <row r="26" ht="19" customHeight="1">
      <c r="A26" s="8" t="n">
        <v>24</v>
      </c>
      <c r="B26" s="9" t="n"/>
      <c r="C26" s="9" t="n"/>
      <c r="D26" s="9" t="n"/>
      <c r="E26" s="9" t="n"/>
      <c r="F26" s="9">
        <f>IF(COUNT(D26:E26)=0,"",ROUND(AVERAGE(D26:E26),1))</f>
        <v/>
      </c>
      <c r="G26" s="9" t="n"/>
      <c r="H26" s="9" t="n"/>
      <c r="I26" s="9" t="n"/>
      <c r="J26" s="9" t="n"/>
    </row>
    <row r="27" ht="19" customHeight="1">
      <c r="A27" s="6" t="n">
        <v>25</v>
      </c>
      <c r="B27" s="7" t="n"/>
      <c r="C27" s="7" t="n"/>
      <c r="D27" s="7" t="n"/>
      <c r="E27" s="7" t="n"/>
      <c r="F27" s="7">
        <f>IF(COUNT(D27:E27)=0,"",ROUND(AVERAGE(D27:E27),1))</f>
        <v/>
      </c>
      <c r="G27" s="7" t="n"/>
      <c r="H27" s="7" t="n"/>
      <c r="I27" s="7" t="n"/>
      <c r="J27" s="7" t="n"/>
    </row>
    <row r="28" ht="19" customHeight="1">
      <c r="A28" s="8" t="n">
        <v>26</v>
      </c>
      <c r="B28" s="9" t="n"/>
      <c r="C28" s="9" t="n"/>
      <c r="D28" s="9" t="n"/>
      <c r="E28" s="9" t="n"/>
      <c r="F28" s="9">
        <f>IF(COUNT(D28:E28)=0,"",ROUND(AVERAGE(D28:E28),1))</f>
        <v/>
      </c>
      <c r="G28" s="9" t="n"/>
      <c r="H28" s="9" t="n"/>
      <c r="I28" s="9" t="n"/>
      <c r="J28" s="9" t="n"/>
    </row>
    <row r="29" ht="19" customHeight="1">
      <c r="A29" s="6" t="n">
        <v>27</v>
      </c>
      <c r="B29" s="7" t="n"/>
      <c r="C29" s="7" t="n"/>
      <c r="D29" s="7" t="n"/>
      <c r="E29" s="7" t="n"/>
      <c r="F29" s="7">
        <f>IF(COUNT(D29:E29)=0,"",ROUND(AVERAGE(D29:E29),1))</f>
        <v/>
      </c>
      <c r="G29" s="7" t="n"/>
      <c r="H29" s="7" t="n"/>
      <c r="I29" s="7" t="n"/>
      <c r="J29" s="7" t="n"/>
    </row>
    <row r="30" ht="19" customHeight="1">
      <c r="A30" s="8" t="n">
        <v>28</v>
      </c>
      <c r="B30" s="9" t="n"/>
      <c r="C30" s="9" t="n"/>
      <c r="D30" s="9" t="n"/>
      <c r="E30" s="9" t="n"/>
      <c r="F30" s="9">
        <f>IF(COUNT(D30:E30)=0,"",ROUND(AVERAGE(D30:E30),1))</f>
        <v/>
      </c>
      <c r="G30" s="9" t="n"/>
      <c r="H30" s="9" t="n"/>
      <c r="I30" s="9" t="n"/>
      <c r="J30" s="9" t="n"/>
    </row>
    <row r="31" ht="19" customHeight="1">
      <c r="A31" s="6" t="n">
        <v>29</v>
      </c>
      <c r="B31" s="7" t="n"/>
      <c r="C31" s="7" t="n"/>
      <c r="D31" s="7" t="n"/>
      <c r="E31" s="7" t="n"/>
      <c r="F31" s="7">
        <f>IF(COUNT(D31:E31)=0,"",ROUND(AVERAGE(D31:E31),1))</f>
        <v/>
      </c>
      <c r="G31" s="7" t="n"/>
      <c r="H31" s="7" t="n"/>
      <c r="I31" s="7" t="n"/>
      <c r="J31" s="7" t="n"/>
    </row>
    <row r="32" ht="19" customHeight="1">
      <c r="A32" s="8" t="n">
        <v>30</v>
      </c>
      <c r="B32" s="9" t="n"/>
      <c r="C32" s="9" t="n"/>
      <c r="D32" s="9" t="n"/>
      <c r="E32" s="9" t="n"/>
      <c r="F32" s="9">
        <f>IF(COUNT(D32:E32)=0,"",ROUND(AVERAGE(D32:E32),1))</f>
        <v/>
      </c>
      <c r="G32" s="9" t="n"/>
      <c r="H32" s="9" t="n"/>
      <c r="I32" s="9" t="n"/>
      <c r="J32" s="9" t="n"/>
    </row>
    <row r="33" ht="19" customHeight="1">
      <c r="A33" s="6" t="n">
        <v>31</v>
      </c>
      <c r="B33" s="7" t="n"/>
      <c r="C33" s="7" t="n"/>
      <c r="D33" s="7" t="n"/>
      <c r="E33" s="7" t="n"/>
      <c r="F33" s="7">
        <f>IF(COUNT(D33:E33)=0,"",ROUND(AVERAGE(D33:E33),1))</f>
        <v/>
      </c>
      <c r="G33" s="7" t="n"/>
      <c r="H33" s="7" t="n"/>
      <c r="I33" s="7" t="n"/>
      <c r="J33" s="7" t="n"/>
    </row>
    <row r="34" ht="19" customHeight="1">
      <c r="A34" s="8" t="n">
        <v>32</v>
      </c>
      <c r="B34" s="9" t="n"/>
      <c r="C34" s="9" t="n"/>
      <c r="D34" s="9" t="n"/>
      <c r="E34" s="9" t="n"/>
      <c r="F34" s="9">
        <f>IF(COUNT(D34:E34)=0,"",ROUND(AVERAGE(D34:E34),1))</f>
        <v/>
      </c>
      <c r="G34" s="9" t="n"/>
      <c r="H34" s="9" t="n"/>
      <c r="I34" s="9" t="n"/>
      <c r="J34" s="9" t="n"/>
    </row>
    <row r="35" ht="19" customHeight="1">
      <c r="A35" s="6" t="n">
        <v>33</v>
      </c>
      <c r="B35" s="7" t="n"/>
      <c r="C35" s="7" t="n"/>
      <c r="D35" s="7" t="n"/>
      <c r="E35" s="7" t="n"/>
      <c r="F35" s="7">
        <f>IF(COUNT(D35:E35)=0,"",ROUND(AVERAGE(D35:E35),1))</f>
        <v/>
      </c>
      <c r="G35" s="7" t="n"/>
      <c r="H35" s="7" t="n"/>
      <c r="I35" s="7" t="n"/>
      <c r="J35" s="7" t="n"/>
    </row>
    <row r="36" ht="19" customHeight="1">
      <c r="A36" s="8" t="n">
        <v>34</v>
      </c>
      <c r="B36" s="9" t="n"/>
      <c r="C36" s="9" t="n"/>
      <c r="D36" s="9" t="n"/>
      <c r="E36" s="9" t="n"/>
      <c r="F36" s="9">
        <f>IF(COUNT(D36:E36)=0,"",ROUND(AVERAGE(D36:E36),1))</f>
        <v/>
      </c>
      <c r="G36" s="9" t="n"/>
      <c r="H36" s="9" t="n"/>
      <c r="I36" s="9" t="n"/>
      <c r="J36" s="9" t="n"/>
    </row>
    <row r="37" ht="19" customHeight="1">
      <c r="A37" s="6" t="n">
        <v>35</v>
      </c>
      <c r="B37" s="7" t="n"/>
      <c r="C37" s="7" t="n"/>
      <c r="D37" s="7" t="n"/>
      <c r="E37" s="7" t="n"/>
      <c r="F37" s="7">
        <f>IF(COUNT(D37:E37)=0,"",ROUND(AVERAGE(D37:E37),1))</f>
        <v/>
      </c>
      <c r="G37" s="7" t="n"/>
      <c r="H37" s="7" t="n"/>
      <c r="I37" s="7" t="n"/>
      <c r="J37" s="7" t="n"/>
    </row>
    <row r="38" ht="19" customHeight="1">
      <c r="A38" s="8" t="n">
        <v>36</v>
      </c>
      <c r="B38" s="9" t="n"/>
      <c r="C38" s="9" t="n"/>
      <c r="D38" s="9" t="n"/>
      <c r="E38" s="9" t="n"/>
      <c r="F38" s="9">
        <f>IF(COUNT(D38:E38)=0,"",ROUND(AVERAGE(D38:E38),1))</f>
        <v/>
      </c>
      <c r="G38" s="9" t="n"/>
      <c r="H38" s="9" t="n"/>
      <c r="I38" s="9" t="n"/>
      <c r="J38" s="9" t="n"/>
    </row>
    <row r="39" ht="19" customHeight="1">
      <c r="A39" s="6" t="n">
        <v>37</v>
      </c>
      <c r="B39" s="7" t="n"/>
      <c r="C39" s="7" t="n"/>
      <c r="D39" s="7" t="n"/>
      <c r="E39" s="7" t="n"/>
      <c r="F39" s="7">
        <f>IF(COUNT(D39:E39)=0,"",ROUND(AVERAGE(D39:E39),1))</f>
        <v/>
      </c>
      <c r="G39" s="7" t="n"/>
      <c r="H39" s="7" t="n"/>
      <c r="I39" s="7" t="n"/>
      <c r="J39" s="7" t="n"/>
    </row>
    <row r="40" ht="19" customHeight="1">
      <c r="A40" s="8" t="n">
        <v>38</v>
      </c>
      <c r="B40" s="9" t="n"/>
      <c r="C40" s="9" t="n"/>
      <c r="D40" s="9" t="n"/>
      <c r="E40" s="9" t="n"/>
      <c r="F40" s="9">
        <f>IF(COUNT(D40:E40)=0,"",ROUND(AVERAGE(D40:E40),1))</f>
        <v/>
      </c>
      <c r="G40" s="9" t="n"/>
      <c r="H40" s="9" t="n"/>
      <c r="I40" s="9" t="n"/>
      <c r="J40" s="9" t="n"/>
    </row>
    <row r="41" ht="19" customHeight="1">
      <c r="A41" s="6" t="n">
        <v>39</v>
      </c>
      <c r="B41" s="7" t="n"/>
      <c r="C41" s="7" t="n"/>
      <c r="D41" s="7" t="n"/>
      <c r="E41" s="7" t="n"/>
      <c r="F41" s="7">
        <f>IF(COUNT(D41:E41)=0,"",ROUND(AVERAGE(D41:E41),1))</f>
        <v/>
      </c>
      <c r="G41" s="7" t="n"/>
      <c r="H41" s="7" t="n"/>
      <c r="I41" s="7" t="n"/>
      <c r="J41" s="7" t="n"/>
    </row>
    <row r="42" ht="19" customHeight="1">
      <c r="A42" s="8" t="n">
        <v>40</v>
      </c>
      <c r="B42" s="9" t="n"/>
      <c r="C42" s="9" t="n"/>
      <c r="D42" s="9" t="n"/>
      <c r="E42" s="9" t="n"/>
      <c r="F42" s="9">
        <f>IF(COUNT(D42:E42)=0,"",ROUND(AVERAGE(D42:E42),1))</f>
        <v/>
      </c>
      <c r="G42" s="9" t="n"/>
      <c r="H42" s="9" t="n"/>
      <c r="I42" s="9" t="n"/>
      <c r="J42" s="9" t="n"/>
    </row>
    <row r="43" ht="19" customHeight="1">
      <c r="A43" s="6" t="n">
        <v>41</v>
      </c>
      <c r="B43" s="7" t="n"/>
      <c r="C43" s="7" t="n"/>
      <c r="D43" s="7" t="n"/>
      <c r="E43" s="7" t="n"/>
      <c r="F43" s="7">
        <f>IF(COUNT(D43:E43)=0,"",ROUND(AVERAGE(D43:E43),1))</f>
        <v/>
      </c>
      <c r="G43" s="7" t="n"/>
      <c r="H43" s="7" t="n"/>
      <c r="I43" s="7" t="n"/>
      <c r="J43" s="7" t="n"/>
    </row>
    <row r="44" ht="19" customHeight="1">
      <c r="A44" s="8" t="n">
        <v>42</v>
      </c>
      <c r="B44" s="9" t="n"/>
      <c r="C44" s="9" t="n"/>
      <c r="D44" s="9" t="n"/>
      <c r="E44" s="9" t="n"/>
      <c r="F44" s="9">
        <f>IF(COUNT(D44:E44)=0,"",ROUND(AVERAGE(D44:E44),1))</f>
        <v/>
      </c>
      <c r="G44" s="9" t="n"/>
      <c r="H44" s="9" t="n"/>
      <c r="I44" s="9" t="n"/>
      <c r="J44" s="9" t="n"/>
    </row>
    <row r="45" ht="19" customHeight="1">
      <c r="A45" s="6" t="n">
        <v>43</v>
      </c>
      <c r="B45" s="7" t="n"/>
      <c r="C45" s="7" t="n"/>
      <c r="D45" s="7" t="n"/>
      <c r="E45" s="7" t="n"/>
      <c r="F45" s="7">
        <f>IF(COUNT(D45:E45)=0,"",ROUND(AVERAGE(D45:E45),1))</f>
        <v/>
      </c>
      <c r="G45" s="7" t="n"/>
      <c r="H45" s="7" t="n"/>
      <c r="I45" s="7" t="n"/>
      <c r="J45" s="7" t="n"/>
    </row>
    <row r="46" ht="19" customHeight="1">
      <c r="A46" s="8" t="n">
        <v>44</v>
      </c>
      <c r="B46" s="9" t="n"/>
      <c r="C46" s="9" t="n"/>
      <c r="D46" s="9" t="n"/>
      <c r="E46" s="9" t="n"/>
      <c r="F46" s="9">
        <f>IF(COUNT(D46:E46)=0,"",ROUND(AVERAGE(D46:E46),1))</f>
        <v/>
      </c>
      <c r="G46" s="9" t="n"/>
      <c r="H46" s="9" t="n"/>
      <c r="I46" s="9" t="n"/>
      <c r="J46" s="9" t="n"/>
    </row>
    <row r="47" ht="19" customHeight="1">
      <c r="A47" s="6" t="n">
        <v>45</v>
      </c>
      <c r="B47" s="7" t="n"/>
      <c r="C47" s="7" t="n"/>
      <c r="D47" s="7" t="n"/>
      <c r="E47" s="7" t="n"/>
      <c r="F47" s="7">
        <f>IF(COUNT(D47:E47)=0,"",ROUND(AVERAGE(D47:E47),1))</f>
        <v/>
      </c>
      <c r="G47" s="7" t="n"/>
      <c r="H47" s="7" t="n"/>
      <c r="I47" s="7" t="n"/>
      <c r="J47" s="7" t="n"/>
    </row>
    <row r="48" ht="19" customHeight="1">
      <c r="A48" s="8" t="n">
        <v>46</v>
      </c>
      <c r="B48" s="9" t="n"/>
      <c r="C48" s="9" t="n"/>
      <c r="D48" s="9" t="n"/>
      <c r="E48" s="9" t="n"/>
      <c r="F48" s="9">
        <f>IF(COUNT(D48:E48)=0,"",ROUND(AVERAGE(D48:E48),1))</f>
        <v/>
      </c>
      <c r="G48" s="9" t="n"/>
      <c r="H48" s="9" t="n"/>
      <c r="I48" s="9" t="n"/>
      <c r="J48" s="9" t="n"/>
    </row>
    <row r="49" ht="19" customHeight="1">
      <c r="A49" s="6" t="n">
        <v>47</v>
      </c>
      <c r="B49" s="7" t="n"/>
      <c r="C49" s="7" t="n"/>
      <c r="D49" s="7" t="n"/>
      <c r="E49" s="7" t="n"/>
      <c r="F49" s="7">
        <f>IF(COUNT(D49:E49)=0,"",ROUND(AVERAGE(D49:E49),1))</f>
        <v/>
      </c>
      <c r="G49" s="7" t="n"/>
      <c r="H49" s="7" t="n"/>
      <c r="I49" s="7" t="n"/>
      <c r="J49" s="7" t="n"/>
    </row>
    <row r="50" ht="19" customHeight="1">
      <c r="A50" s="8" t="n">
        <v>48</v>
      </c>
      <c r="B50" s="9" t="n"/>
      <c r="C50" s="9" t="n"/>
      <c r="D50" s="9" t="n"/>
      <c r="E50" s="9" t="n"/>
      <c r="F50" s="9">
        <f>IF(COUNT(D50:E50)=0,"",ROUND(AVERAGE(D50:E50),1))</f>
        <v/>
      </c>
      <c r="G50" s="9" t="n"/>
      <c r="H50" s="9" t="n"/>
      <c r="I50" s="9" t="n"/>
      <c r="J50" s="9" t="n"/>
    </row>
    <row r="51" ht="19" customHeight="1">
      <c r="A51" s="6" t="n">
        <v>49</v>
      </c>
      <c r="B51" s="7" t="n"/>
      <c r="C51" s="7" t="n"/>
      <c r="D51" s="7" t="n"/>
      <c r="E51" s="7" t="n"/>
      <c r="F51" s="7">
        <f>IF(COUNT(D51:E51)=0,"",ROUND(AVERAGE(D51:E51),1))</f>
        <v/>
      </c>
      <c r="G51" s="7" t="n"/>
      <c r="H51" s="7" t="n"/>
      <c r="I51" s="7" t="n"/>
      <c r="J51" s="7" t="n"/>
    </row>
    <row r="52" ht="19" customHeight="1">
      <c r="A52" s="8" t="n">
        <v>50</v>
      </c>
      <c r="B52" s="9" t="n"/>
      <c r="C52" s="9" t="n"/>
      <c r="D52" s="9" t="n"/>
      <c r="E52" s="9" t="n"/>
      <c r="F52" s="9">
        <f>IF(COUNT(D52:E52)=0,"",ROUND(AVERAGE(D52:E52),1))</f>
        <v/>
      </c>
      <c r="G52" s="9" t="n"/>
      <c r="H52" s="9" t="n"/>
      <c r="I52" s="9" t="n"/>
      <c r="J52" s="9" t="n"/>
    </row>
    <row r="53" ht="19" customHeight="1">
      <c r="A53" s="6" t="n">
        <v>51</v>
      </c>
      <c r="B53" s="7" t="n"/>
      <c r="C53" s="7" t="n"/>
      <c r="D53" s="7" t="n"/>
      <c r="E53" s="7" t="n"/>
      <c r="F53" s="7">
        <f>IF(COUNT(D53:E53)=0,"",ROUND(AVERAGE(D53:E53),1))</f>
        <v/>
      </c>
      <c r="G53" s="7" t="n"/>
      <c r="H53" s="7" t="n"/>
      <c r="I53" s="7" t="n"/>
      <c r="J53" s="7" t="n"/>
    </row>
    <row r="54" ht="19" customHeight="1">
      <c r="A54" s="8" t="n">
        <v>52</v>
      </c>
      <c r="B54" s="9" t="n"/>
      <c r="C54" s="9" t="n"/>
      <c r="D54" s="9" t="n"/>
      <c r="E54" s="9" t="n"/>
      <c r="F54" s="9">
        <f>IF(COUNT(D54:E54)=0,"",ROUND(AVERAGE(D54:E54),1))</f>
        <v/>
      </c>
      <c r="G54" s="9" t="n"/>
      <c r="H54" s="9" t="n"/>
      <c r="I54" s="9" t="n"/>
      <c r="J54" s="9" t="n"/>
    </row>
    <row r="55" ht="19" customHeight="1">
      <c r="A55" s="6" t="n">
        <v>53</v>
      </c>
      <c r="B55" s="7" t="n"/>
      <c r="C55" s="7" t="n"/>
      <c r="D55" s="7" t="n"/>
      <c r="E55" s="7" t="n"/>
      <c r="F55" s="7">
        <f>IF(COUNT(D55:E55)=0,"",ROUND(AVERAGE(D55:E55),1))</f>
        <v/>
      </c>
      <c r="G55" s="7" t="n"/>
      <c r="H55" s="7" t="n"/>
      <c r="I55" s="7" t="n"/>
      <c r="J55" s="7" t="n"/>
    </row>
    <row r="56" ht="19" customHeight="1">
      <c r="A56" s="8" t="n">
        <v>54</v>
      </c>
      <c r="B56" s="9" t="n"/>
      <c r="C56" s="9" t="n"/>
      <c r="D56" s="9" t="n"/>
      <c r="E56" s="9" t="n"/>
      <c r="F56" s="9">
        <f>IF(COUNT(D56:E56)=0,"",ROUND(AVERAGE(D56:E56),1))</f>
        <v/>
      </c>
      <c r="G56" s="9" t="n"/>
      <c r="H56" s="9" t="n"/>
      <c r="I56" s="9" t="n"/>
      <c r="J56" s="9" t="n"/>
    </row>
    <row r="57" ht="19" customHeight="1">
      <c r="A57" s="6" t="n">
        <v>55</v>
      </c>
      <c r="B57" s="7" t="n"/>
      <c r="C57" s="7" t="n"/>
      <c r="D57" s="7" t="n"/>
      <c r="E57" s="7" t="n"/>
      <c r="F57" s="7">
        <f>IF(COUNT(D57:E57)=0,"",ROUND(AVERAGE(D57:E57),1))</f>
        <v/>
      </c>
      <c r="G57" s="7" t="n"/>
      <c r="H57" s="7" t="n"/>
      <c r="I57" s="7" t="n"/>
      <c r="J57" s="7" t="n"/>
    </row>
    <row r="58" ht="19" customHeight="1">
      <c r="A58" s="8" t="n">
        <v>56</v>
      </c>
      <c r="B58" s="9" t="n"/>
      <c r="C58" s="9" t="n"/>
      <c r="D58" s="9" t="n"/>
      <c r="E58" s="9" t="n"/>
      <c r="F58" s="9">
        <f>IF(COUNT(D58:E58)=0,"",ROUND(AVERAGE(D58:E58),1))</f>
        <v/>
      </c>
      <c r="G58" s="9" t="n"/>
      <c r="H58" s="9" t="n"/>
      <c r="I58" s="9" t="n"/>
      <c r="J58" s="9" t="n"/>
    </row>
    <row r="59" ht="19" customHeight="1">
      <c r="A59" s="6" t="n">
        <v>57</v>
      </c>
      <c r="B59" s="7" t="n"/>
      <c r="C59" s="7" t="n"/>
      <c r="D59" s="7" t="n"/>
      <c r="E59" s="7" t="n"/>
      <c r="F59" s="7">
        <f>IF(COUNT(D59:E59)=0,"",ROUND(AVERAGE(D59:E59),1))</f>
        <v/>
      </c>
      <c r="G59" s="7" t="n"/>
      <c r="H59" s="7" t="n"/>
      <c r="I59" s="7" t="n"/>
      <c r="J59" s="7" t="n"/>
    </row>
    <row r="60" ht="19" customHeight="1">
      <c r="A60" s="8" t="n">
        <v>58</v>
      </c>
      <c r="B60" s="9" t="n"/>
      <c r="C60" s="9" t="n"/>
      <c r="D60" s="9" t="n"/>
      <c r="E60" s="9" t="n"/>
      <c r="F60" s="9">
        <f>IF(COUNT(D60:E60)=0,"",ROUND(AVERAGE(D60:E60),1))</f>
        <v/>
      </c>
      <c r="G60" s="9" t="n"/>
      <c r="H60" s="9" t="n"/>
      <c r="I60" s="9" t="n"/>
      <c r="J60" s="9" t="n"/>
    </row>
    <row r="61" ht="19" customHeight="1">
      <c r="A61" s="6" t="n">
        <v>59</v>
      </c>
      <c r="B61" s="7" t="n"/>
      <c r="C61" s="7" t="n"/>
      <c r="D61" s="7" t="n"/>
      <c r="E61" s="7" t="n"/>
      <c r="F61" s="7">
        <f>IF(COUNT(D61:E61)=0,"",ROUND(AVERAGE(D61:E61),1))</f>
        <v/>
      </c>
      <c r="G61" s="7" t="n"/>
      <c r="H61" s="7" t="n"/>
      <c r="I61" s="7" t="n"/>
      <c r="J61" s="7" t="n"/>
    </row>
    <row r="62" ht="19" customHeight="1">
      <c r="A62" s="8" t="n">
        <v>60</v>
      </c>
      <c r="B62" s="9" t="n"/>
      <c r="C62" s="9" t="n"/>
      <c r="D62" s="9" t="n"/>
      <c r="E62" s="9" t="n"/>
      <c r="F62" s="9">
        <f>IF(COUNT(D62:E62)=0,"",ROUND(AVERAGE(D62:E62),1))</f>
        <v/>
      </c>
      <c r="G62" s="9" t="n"/>
      <c r="H62" s="9" t="n"/>
      <c r="I62" s="9" t="n"/>
      <c r="J62" s="9" t="n"/>
    </row>
  </sheetData>
  <mergeCells count="1">
    <mergeCell ref="A1:J1"/>
  </mergeCells>
  <dataValidations count="1">
    <dataValidation sqref="H3:H62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9" customWidth="1" min="4" max="4"/>
    <col width="9" customWidth="1" min="5" max="5"/>
    <col width="12" customWidth="1" min="6" max="6"/>
    <col width="18" customWidth="1" min="7" max="7"/>
    <col width="8" customWidth="1" min="8" max="8"/>
    <col width="11" customWidth="1" min="9" max="9"/>
    <col width="50" customWidth="1" min="10" max="10"/>
    <col width="16" customWidth="1" min="11" max="11"/>
  </cols>
  <sheetData>
    <row r="1" ht="18" customHeight="1">
      <c r="A1" s="4" t="inlineStr">
        <is>
          <t>※ 10. 13.(화) ~ 10. 18.(일) · 서류 합격 팀 대상 · 팀당 1회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멘토링
일자</t>
        </is>
      </c>
      <c r="D2" s="5" t="inlineStr">
        <is>
          <t>시작</t>
        </is>
      </c>
      <c r="E2" s="5" t="inlineStr">
        <is>
          <t>종료</t>
        </is>
      </c>
      <c r="F2" s="5" t="inlineStr">
        <is>
          <t>멘토명</t>
        </is>
      </c>
      <c r="G2" s="5" t="inlineStr">
        <is>
          <t>소속</t>
        </is>
      </c>
      <c r="H2" s="5" t="inlineStr">
        <is>
          <t>참석
인원</t>
        </is>
      </c>
      <c r="I2" s="5" t="inlineStr">
        <is>
          <t>진행
방식</t>
        </is>
      </c>
      <c r="J2" s="5" t="inlineStr">
        <is>
          <t>멘토링 결과 요약 (개선 과제)</t>
        </is>
      </c>
      <c r="K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</sheetData>
  <mergeCells count="1">
    <mergeCell ref="A1:K1"/>
  </mergeCells>
  <dataValidations count="1">
    <dataValidation sqref="I3:I32" showDropDown="0" showInputMessage="0" showErrorMessage="0" allowBlank="1" type="list">
      <formula1>"Zoom,Google Meet,기타"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11" customWidth="1" min="4" max="4"/>
    <col width="16" customWidth="1" min="5" max="5"/>
    <col width="24" customWidth="1" min="6" max="6"/>
    <col width="8" customWidth="1" min="7" max="7"/>
    <col width="9" customWidth="1" min="8" max="8"/>
    <col width="14" customWidth="1" min="9" max="9"/>
    <col width="20" customWidth="1" min="10" max="10"/>
  </cols>
  <sheetData>
    <row r="1" ht="18" customHeight="1">
      <c r="A1" s="4" t="inlineStr">
        <is>
          <t>※ 10. 22.(목) · 학생·심사위원·스태프를 구분해 함께 기록합니다.</t>
        </is>
      </c>
    </row>
    <row r="2" ht="30" customHeight="1">
      <c r="A2" s="5" t="inlineStr">
        <is>
          <t>연번</t>
        </is>
      </c>
      <c r="B2" s="5" t="inlineStr">
        <is>
          <t>구분</t>
        </is>
      </c>
      <c r="C2" s="5" t="inlineStr">
        <is>
          <t>팀명 / 소속</t>
        </is>
      </c>
      <c r="D2" s="5" t="inlineStr">
        <is>
          <t>성명</t>
        </is>
      </c>
      <c r="E2" s="5" t="inlineStr">
        <is>
          <t>연락처</t>
        </is>
      </c>
      <c r="F2" s="5" t="inlineStr">
        <is>
          <t>이메일</t>
        </is>
      </c>
      <c r="G2" s="5" t="inlineStr">
        <is>
          <t>발표
순서</t>
        </is>
      </c>
      <c r="H2" s="5" t="inlineStr">
        <is>
          <t>참석
확인</t>
        </is>
      </c>
      <c r="I2" s="5" t="inlineStr">
        <is>
          <t>수상</t>
        </is>
      </c>
      <c r="J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</row>
  </sheetData>
  <mergeCells count="1">
    <mergeCell ref="A1:J1"/>
  </mergeCells>
  <dataValidations count="3">
    <dataValidation sqref="B3:B62" showDropDown="0" showInputMessage="0" showErrorMessage="0" allowBlank="1" type="list">
      <formula1>"참가학생,심사위원,스태프,내빈"</formula1>
    </dataValidation>
    <dataValidation sqref="H3:H62" showDropDown="0" showInputMessage="0" showErrorMessage="0" allowBlank="1" type="list">
      <formula1>"Y,N"</formula1>
    </dataValidation>
    <dataValidation sqref="I3:I62" showDropDown="0" showInputMessage="0" showErrorMessage="0" allowBlank="1" type="list">
      <formula1>"대상,최우수상,우수상,장려상"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6" customWidth="1" min="4" max="4"/>
  </cols>
  <sheetData>
    <row r="2">
      <c r="B2" s="1" t="inlineStr">
        <is>
          <t>집계</t>
        </is>
      </c>
    </row>
    <row r="4" ht="20" customHeight="1">
      <c r="B4" s="10" t="inlineStr">
        <is>
          <t>창업 특강 참석자</t>
        </is>
      </c>
      <c r="C4" s="11">
        <f>COUNTA(창업특강_참석!B3:B92)</f>
        <v/>
      </c>
      <c r="D4" s="12" t="inlineStr">
        <is>
          <t>명 · 9. 28.(월)</t>
        </is>
      </c>
    </row>
    <row r="5" ht="20" customHeight="1">
      <c r="B5" s="10" t="inlineStr">
        <is>
          <t>개인정보 동의 확인</t>
        </is>
      </c>
      <c r="C5" s="11">
        <f>COUNTIF(창업특강_참석!I3:I92,"Y")</f>
        <v/>
      </c>
      <c r="D5" s="12" t="inlineStr">
        <is>
          <t>명</t>
        </is>
      </c>
    </row>
    <row r="7" ht="20" customHeight="1">
      <c r="B7" s="10" t="inlineStr">
        <is>
          <t>서류 접수 팀</t>
        </is>
      </c>
      <c r="C7" s="11">
        <f>COUNTA(참가팀_명단!B3:B62)</f>
        <v/>
      </c>
      <c r="D7" s="12" t="inlineStr">
        <is>
          <t>팀 · 마감 10. 9.(금)</t>
        </is>
      </c>
    </row>
    <row r="8" ht="20" customHeight="1">
      <c r="B8" s="10" t="inlineStr">
        <is>
          <t>사업계획서 제출 완료</t>
        </is>
      </c>
      <c r="C8" s="11">
        <f>COUNTIF(참가팀_명단!M3:M62,"Y")</f>
        <v/>
      </c>
      <c r="D8" s="12" t="inlineStr">
        <is>
          <t>팀</t>
        </is>
      </c>
    </row>
    <row r="9" ht="20" customHeight="1">
      <c r="B9" s="10" t="inlineStr">
        <is>
          <t>참가 인원 (팀원 포함)</t>
        </is>
      </c>
      <c r="C9" s="11">
        <f>COUNTA(참가팀_명단!D3:D62)+COUNTA(참가팀_명단!J3:J62)+COUNTA(참가팀_명단!K3:K62)+COUNTA(참가팀_명단!L3:L62)</f>
        <v/>
      </c>
      <c r="D9" s="12" t="inlineStr">
        <is>
          <t>명</t>
        </is>
      </c>
    </row>
    <row r="11" ht="20" customHeight="1">
      <c r="B11" s="10" t="inlineStr">
        <is>
          <t>서류 합격 팀</t>
        </is>
      </c>
      <c r="C11" s="11">
        <f>COUNTIF(서류심사_결과!H3:H62,"합격")</f>
        <v/>
      </c>
      <c r="D11" s="12" t="inlineStr">
        <is>
          <t>팀 · 발표 10. 12.(월)</t>
        </is>
      </c>
    </row>
    <row r="12" ht="20" customHeight="1">
      <c r="B12" s="10" t="inlineStr">
        <is>
          <t>멘토링 완료 팀</t>
        </is>
      </c>
      <c r="C12" s="11">
        <f>COUNTA(온라인멘토링!B3:B32)</f>
        <v/>
      </c>
      <c r="D12" s="12" t="inlineStr">
        <is>
          <t>팀 · 10. 13. ~ 10. 18.</t>
        </is>
      </c>
    </row>
    <row r="14" ht="20" customHeight="1">
      <c r="B14" s="10" t="inlineStr">
        <is>
          <t>최종발표 참석 (전체)</t>
        </is>
      </c>
      <c r="C14" s="11">
        <f>COUNTIF(최종발표_참석!H3:H62,"Y")</f>
        <v/>
      </c>
      <c r="D14" s="12" t="inlineStr">
        <is>
          <t>명 · 10. 22.(목)</t>
        </is>
      </c>
    </row>
    <row r="15" ht="20" customHeight="1">
      <c r="B15" s="13" t="inlineStr">
        <is>
          <t xml:space="preserve">  ├ 참가 학생</t>
        </is>
      </c>
      <c r="C15" s="11">
        <f>COUNTIFS(최종발표_참석!B3:B62,"참가학생",최종발표_참석!H3:H62,"Y")</f>
        <v/>
      </c>
      <c r="D15" s="12" t="inlineStr">
        <is>
          <t>명</t>
        </is>
      </c>
    </row>
    <row r="16" ht="20" customHeight="1">
      <c r="B16" s="13" t="inlineStr">
        <is>
          <t xml:space="preserve">  ├ 심사위원</t>
        </is>
      </c>
      <c r="C16" s="11">
        <f>COUNTIFS(최종발표_참석!B3:B62,"심사위원",최종발표_참석!H3:H62,"Y")</f>
        <v/>
      </c>
      <c r="D16" s="12" t="inlineStr">
        <is>
          <t>명</t>
        </is>
      </c>
    </row>
    <row r="17" ht="20" customHeight="1">
      <c r="B17" s="13" t="inlineStr">
        <is>
          <t xml:space="preserve">  └ 스태프</t>
        </is>
      </c>
      <c r="C17" s="11">
        <f>COUNTIFS(최종발표_참석!B3:B62,"스태프",최종발표_참석!H3:H62,"Y")</f>
        <v/>
      </c>
      <c r="D17" s="12" t="inlineStr">
        <is>
          <t>명</t>
        </is>
      </c>
    </row>
    <row r="19" ht="20" customHeight="1">
      <c r="B19" s="10" t="inlineStr">
        <is>
          <t>수상 팀</t>
        </is>
      </c>
      <c r="C19" s="11">
        <f>COUNTA(최종발표_참석!I3:I62)</f>
        <v/>
      </c>
      <c r="D19" s="12" t="inlineStr">
        <is>
          <t>팀 · 총 10팀 예정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2026-09-27T10:11:35Z</dcterms:created>
  <dcterms:modified xmlns:dcterms="http://purl.org/dc/terms/" xmlns:xsi="http://www.w3.org/2001/XMLSchema-instance" xsi:type="dcterms:W3CDTF">2026-09-27T10:11:35Z</dcterms:modified>
</cp:coreProperties>
</file>