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표" sheetId="1" state="visible" r:id="rId1"/>
    <sheet xmlns:r="http://schemas.openxmlformats.org/officeDocument/2006/relationships" name="인건비(전문가)" sheetId="2" state="visible" r:id="rId2"/>
    <sheet xmlns:r="http://schemas.openxmlformats.org/officeDocument/2006/relationships" name="일반경비" sheetId="3" state="visible" r:id="rId3"/>
    <sheet xmlns:r="http://schemas.openxmlformats.org/officeDocument/2006/relationships" name="참고(증액 검토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3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8" customWidth="1" min="4" max="4"/>
    <col width="62" customWidth="1" min="5" max="5"/>
  </cols>
  <sheetData>
    <row r="1" ht="30" customHeight="1">
      <c r="A1" s="1" t="inlineStr">
        <is>
          <t>2026 대학생과 고양시민의 AI 기술 창업을 위한 바이브 코딩 특강 및 경진대회 원가계산서</t>
        </is>
      </c>
    </row>
    <row r="2">
      <c r="E2" s="2" t="inlineStr">
        <is>
          <t>단위 : 원</t>
        </is>
      </c>
    </row>
    <row r="3">
      <c r="A3" s="3" t="inlineStr">
        <is>
          <t>구 분</t>
        </is>
      </c>
      <c r="B3" s="3" t="inlineStr">
        <is>
          <t>금 액</t>
        </is>
      </c>
      <c r="C3" s="3" t="inlineStr">
        <is>
          <t>구성비</t>
        </is>
      </c>
      <c r="D3" s="3" t="inlineStr">
        <is>
          <t>비 고</t>
        </is>
      </c>
      <c r="E3" s="3" t="inlineStr">
        <is>
          <t>산출내용</t>
        </is>
      </c>
    </row>
    <row r="4">
      <c r="A4" s="4" t="inlineStr">
        <is>
          <t>인건비(전문가 수당)</t>
        </is>
      </c>
      <c r="B4" s="5" t="n">
        <v>3500000</v>
      </c>
      <c r="C4" s="6" t="n">
        <v>0.38500000385</v>
      </c>
      <c r="D4" s="7" t="inlineStr">
        <is>
          <t>(1)</t>
        </is>
      </c>
      <c r="E4" s="8" t="inlineStr">
        <is>
          <t>창업 특강 강사료, 1:1 멘토링비, 예선 서류 평가료, 결승 심사수당</t>
        </is>
      </c>
    </row>
    <row r="5">
      <c r="A5" s="4" t="inlineStr">
        <is>
          <t>일반경비(시상·실습·홍보·운영)</t>
        </is>
      </c>
      <c r="B5" s="5" t="n">
        <v>5300000</v>
      </c>
      <c r="C5" s="6" t="n">
        <v>0.5830000058300001</v>
      </c>
      <c r="D5" s="7" t="inlineStr">
        <is>
          <t>(2)</t>
        </is>
      </c>
      <c r="E5" s="8" t="inlineStr">
        <is>
          <t>시상금 및 부상, AI 코딩 도구 이용료, 홍보·인쇄비, 행사 운영비</t>
        </is>
      </c>
    </row>
    <row r="6">
      <c r="A6" s="4" t="inlineStr">
        <is>
          <t>일반관리비</t>
        </is>
      </c>
      <c r="B6" s="5" t="n">
        <v>176000</v>
      </c>
      <c r="C6" s="6" t="n">
        <v>0.0193600001936</v>
      </c>
      <c r="D6" s="7" t="inlineStr">
        <is>
          <t>(3)</t>
        </is>
      </c>
      <c r="E6" s="8" t="inlineStr">
        <is>
          <t>(3) = {(1) + (2)} × 2.0%   지방계약법 시행규칙 제8조제1항제14호(8% 이내)</t>
        </is>
      </c>
    </row>
    <row r="7">
      <c r="A7" s="4" t="inlineStr">
        <is>
          <t>이윤</t>
        </is>
      </c>
      <c r="B7" s="5" t="n">
        <v>114909</v>
      </c>
      <c r="C7" s="6" t="n">
        <v>0.0126399901263999</v>
      </c>
      <c r="D7" s="7" t="inlineStr">
        <is>
          <t>(4)</t>
        </is>
      </c>
      <c r="E7" s="8" t="inlineStr">
        <is>
          <t>(4) = {(1) + (2) + (3)} × 1.28%   지방계약법 시행규칙 제8조제2항제4호(10% 이내)</t>
        </is>
      </c>
    </row>
    <row r="8">
      <c r="A8" s="9" t="inlineStr">
        <is>
          <t>총원가</t>
        </is>
      </c>
      <c r="B8" s="10" t="n">
        <v>9090909</v>
      </c>
      <c r="C8" s="11" t="n">
        <v>1</v>
      </c>
      <c r="D8" s="12" t="inlineStr">
        <is>
          <t>(5)</t>
        </is>
      </c>
      <c r="E8" s="13" t="inlineStr">
        <is>
          <t>(5) = (1) + (2) + (3) + (4)</t>
        </is>
      </c>
    </row>
    <row r="9">
      <c r="A9" s="14" t="inlineStr">
        <is>
          <t>부가가치세</t>
        </is>
      </c>
      <c r="B9" s="15" t="n">
        <v>909091</v>
      </c>
      <c r="C9" s="16" t="inlineStr">
        <is>
          <t>-</t>
        </is>
      </c>
      <c r="D9" s="16" t="inlineStr">
        <is>
          <t>(6)</t>
        </is>
      </c>
      <c r="E9" s="17" t="inlineStr">
        <is>
          <t>(6) = (5) × 10%   총원가의 10%</t>
        </is>
      </c>
    </row>
    <row r="10">
      <c r="A10" s="18" t="inlineStr">
        <is>
          <t>합 계 금 액</t>
        </is>
      </c>
      <c r="B10" s="19" t="n">
        <v>10000000</v>
      </c>
      <c r="C10" s="20" t="inlineStr"/>
      <c r="D10" s="18" t="inlineStr">
        <is>
          <t>(7)</t>
        </is>
      </c>
      <c r="E10" s="21" t="inlineStr">
        <is>
          <t>(7) = (5) + (6)   금 일천만원정 (VAT 포함)</t>
        </is>
      </c>
    </row>
    <row r="12" ht="42" customHeight="1">
      <c r="A12" s="22" t="inlineStr">
        <is>
          <t>※ 2025년 원가계산서는 일반관리비 6% · 이윤 10%를 적용하였으나, 본 과업은 시상금(2,500,000원)과 AI 코딩 도구 이용료(1,500,000원) 등 실비성 지출 비중이 커 총액 10,000,000원 안에서는 위 요율을 적용할 수 없다. 2025년과 동일한 요율을 적용할 경우 필요한 총액은 11,286,880원이다. (참고 시트)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8" customWidth="1" min="4" max="4"/>
    <col width="8" customWidth="1" min="5" max="5"/>
    <col width="14" customWidth="1" min="6" max="6"/>
    <col width="34" customWidth="1" min="7" max="7"/>
  </cols>
  <sheetData>
    <row r="1">
      <c r="A1" s="23" t="inlineStr">
        <is>
          <t>인건비 - 전문가 수당</t>
        </is>
      </c>
    </row>
    <row r="2">
      <c r="G2" s="2" t="inlineStr">
        <is>
          <t>단위 : 원</t>
        </is>
      </c>
    </row>
    <row r="3">
      <c r="A3" s="3" t="inlineStr">
        <is>
          <t>구분</t>
        </is>
      </c>
      <c r="B3" s="3" t="inlineStr">
        <is>
          <t>세부항목</t>
        </is>
      </c>
      <c r="C3" s="3" t="inlineStr">
        <is>
          <t>단가</t>
        </is>
      </c>
      <c r="D3" s="3" t="inlineStr">
        <is>
          <t>인원</t>
        </is>
      </c>
      <c r="E3" s="3" t="inlineStr">
        <is>
          <t>회</t>
        </is>
      </c>
      <c r="F3" s="3" t="inlineStr">
        <is>
          <t>금액</t>
        </is>
      </c>
      <c r="G3" s="3" t="inlineStr">
        <is>
          <t>비고</t>
        </is>
      </c>
    </row>
    <row r="4">
      <c r="A4" s="7" t="inlineStr">
        <is>
          <t>강사</t>
        </is>
      </c>
      <c r="B4" s="4" t="inlineStr">
        <is>
          <t>창업 특강 강사료 (나급 상당)</t>
        </is>
      </c>
      <c r="C4" s="5" t="n">
        <v>500000</v>
      </c>
      <c r="D4" s="7" t="n">
        <v>1</v>
      </c>
      <c r="E4" s="7" t="n">
        <v>1</v>
      </c>
      <c r="F4" s="5">
        <f>C4*D4*E4</f>
        <v/>
      </c>
      <c r="G4" s="24" t="inlineStr">
        <is>
          <t>9.28(월) 바이브 코딩 실습 특강 2시간</t>
        </is>
      </c>
    </row>
    <row r="5">
      <c r="A5" s="7" t="inlineStr">
        <is>
          <t>멘토</t>
        </is>
      </c>
      <c r="B5" s="4" t="inlineStr">
        <is>
          <t>1:1 창업 멘토링비</t>
        </is>
      </c>
      <c r="C5" s="5" t="n">
        <v>150000</v>
      </c>
      <c r="D5" s="7" t="n">
        <v>10</v>
      </c>
      <c r="E5" s="7" t="n">
        <v>1</v>
      </c>
      <c r="F5" s="5">
        <f>C5*D5*E5</f>
        <v/>
      </c>
      <c r="G5" s="24" t="inlineStr">
        <is>
          <t>10.8(목) 멘토링 대상 10개 팀</t>
        </is>
      </c>
    </row>
    <row r="6">
      <c r="A6" s="7" t="inlineStr">
        <is>
          <t>심사위원</t>
        </is>
      </c>
      <c r="B6" s="4" t="inlineStr">
        <is>
          <t>예선 서류 평가료</t>
        </is>
      </c>
      <c r="C6" s="5" t="n">
        <v>150000</v>
      </c>
      <c r="D6" s="7" t="n">
        <v>2</v>
      </c>
      <c r="E6" s="7" t="n">
        <v>1</v>
      </c>
      <c r="F6" s="5">
        <f>C6*D6*E6</f>
        <v/>
      </c>
      <c r="G6" s="24" t="inlineStr">
        <is>
          <t>10.15(목) 내/외부 위원 2인</t>
        </is>
      </c>
    </row>
    <row r="7">
      <c r="A7" s="7" t="inlineStr">
        <is>
          <t>심사위원</t>
        </is>
      </c>
      <c r="B7" s="4" t="inlineStr">
        <is>
          <t>결승 심사수당</t>
        </is>
      </c>
      <c r="C7" s="5" t="n">
        <v>400000</v>
      </c>
      <c r="D7" s="7" t="n">
        <v>3</v>
      </c>
      <c r="E7" s="7" t="n">
        <v>1</v>
      </c>
      <c r="F7" s="5">
        <f>C7*D7*E7</f>
        <v/>
      </c>
      <c r="G7" s="24" t="inlineStr">
        <is>
          <t>10.22(목) 현직 VC 3인</t>
        </is>
      </c>
    </row>
    <row r="8">
      <c r="A8" s="12" t="inlineStr">
        <is>
          <t>합계</t>
        </is>
      </c>
      <c r="B8" s="25" t="inlineStr"/>
      <c r="C8" s="25" t="inlineStr"/>
      <c r="D8" s="25" t="inlineStr"/>
      <c r="E8" s="25" t="inlineStr"/>
      <c r="F8" s="10">
        <f>SUM(F4:F7)</f>
        <v/>
      </c>
      <c r="G8" s="2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0" customWidth="1" min="4" max="4"/>
    <col width="8" customWidth="1" min="5" max="5"/>
    <col width="14" customWidth="1" min="6" max="6"/>
    <col width="34" customWidth="1" min="7" max="7"/>
  </cols>
  <sheetData>
    <row r="1">
      <c r="A1" s="23" t="inlineStr">
        <is>
          <t>일반경비 - 시상·실습·홍보·운영</t>
        </is>
      </c>
    </row>
    <row r="2">
      <c r="G2" s="2" t="inlineStr">
        <is>
          <t>단위 : 원</t>
        </is>
      </c>
    </row>
    <row r="3">
      <c r="A3" s="3" t="inlineStr">
        <is>
          <t>구분</t>
        </is>
      </c>
      <c r="B3" s="3" t="inlineStr">
        <is>
          <t>항목</t>
        </is>
      </c>
      <c r="C3" s="3" t="inlineStr">
        <is>
          <t>단가</t>
        </is>
      </c>
      <c r="D3" s="3" t="inlineStr">
        <is>
          <t>수량</t>
        </is>
      </c>
      <c r="E3" s="3" t="inlineStr">
        <is>
          <t>단위</t>
        </is>
      </c>
      <c r="F3" s="3" t="inlineStr">
        <is>
          <t>금액</t>
        </is>
      </c>
      <c r="G3" s="3" t="inlineStr">
        <is>
          <t>비고</t>
        </is>
      </c>
    </row>
    <row r="4">
      <c r="A4" s="7" t="inlineStr">
        <is>
          <t>시상</t>
        </is>
      </c>
      <c r="B4" s="4" t="inlineStr">
        <is>
          <t>대상 (1등)</t>
        </is>
      </c>
      <c r="C4" s="5" t="n">
        <v>1000000</v>
      </c>
      <c r="D4" s="7" t="n">
        <v>1</v>
      </c>
      <c r="E4" s="7" t="inlineStr">
        <is>
          <t>팀</t>
        </is>
      </c>
      <c r="F4" s="5">
        <f>C4*D4</f>
        <v/>
      </c>
      <c r="G4" s="24" t="inlineStr"/>
    </row>
    <row r="5">
      <c r="A5" s="7" t="inlineStr">
        <is>
          <t>시상</t>
        </is>
      </c>
      <c r="B5" s="4" t="inlineStr">
        <is>
          <t>최우수상 (2등)</t>
        </is>
      </c>
      <c r="C5" s="5" t="n">
        <v>500000</v>
      </c>
      <c r="D5" s="7" t="n">
        <v>1</v>
      </c>
      <c r="E5" s="7" t="inlineStr">
        <is>
          <t>팀</t>
        </is>
      </c>
      <c r="F5" s="5">
        <f>C5*D5</f>
        <v/>
      </c>
      <c r="G5" s="24" t="inlineStr"/>
    </row>
    <row r="6">
      <c r="A6" s="7" t="inlineStr">
        <is>
          <t>시상</t>
        </is>
      </c>
      <c r="B6" s="4" t="inlineStr">
        <is>
          <t>우수상 (3등)</t>
        </is>
      </c>
      <c r="C6" s="5" t="n">
        <v>300000</v>
      </c>
      <c r="D6" s="7" t="n">
        <v>1</v>
      </c>
      <c r="E6" s="7" t="inlineStr">
        <is>
          <t>팀</t>
        </is>
      </c>
      <c r="F6" s="5">
        <f>C6*D6</f>
        <v/>
      </c>
      <c r="G6" s="24" t="inlineStr"/>
    </row>
    <row r="7">
      <c r="A7" s="7" t="inlineStr">
        <is>
          <t>시상</t>
        </is>
      </c>
      <c r="B7" s="4" t="inlineStr">
        <is>
          <t>장려상 (4~10등) 부상</t>
        </is>
      </c>
      <c r="C7" s="5" t="n">
        <v>100000</v>
      </c>
      <c r="D7" s="7" t="n">
        <v>7</v>
      </c>
      <c r="E7" s="7" t="inlineStr">
        <is>
          <t>팀</t>
        </is>
      </c>
      <c r="F7" s="5">
        <f>C7*D7</f>
        <v/>
      </c>
      <c r="G7" s="24" t="inlineStr">
        <is>
          <t>100,000원 상당 상품</t>
        </is>
      </c>
    </row>
    <row r="8">
      <c r="A8" s="7" t="inlineStr">
        <is>
          <t>실습</t>
        </is>
      </c>
      <c r="B8" s="4" t="inlineStr">
        <is>
          <t>AI 코딩 도구 이용료</t>
        </is>
      </c>
      <c r="C8" s="5" t="n">
        <v>50000</v>
      </c>
      <c r="D8" s="7" t="n">
        <v>30</v>
      </c>
      <c r="E8" s="7" t="inlineStr">
        <is>
          <t>명</t>
        </is>
      </c>
      <c r="F8" s="5">
        <f>C8*D8</f>
        <v/>
      </c>
      <c r="G8" s="24" t="inlineStr">
        <is>
          <t>멘토링 대상 10개 팀 · 팀당 3인 기준</t>
        </is>
      </c>
    </row>
    <row r="9">
      <c r="A9" s="7" t="inlineStr">
        <is>
          <t>홍보</t>
        </is>
      </c>
      <c r="B9" s="4" t="inlineStr">
        <is>
          <t>포스터 제작·출력</t>
        </is>
      </c>
      <c r="C9" s="5" t="n">
        <v>13000</v>
      </c>
      <c r="D9" s="7" t="n">
        <v>20</v>
      </c>
      <c r="E9" s="7" t="inlineStr">
        <is>
          <t>부</t>
        </is>
      </c>
      <c r="F9" s="5">
        <f>C9*D9</f>
        <v/>
      </c>
      <c r="G9" s="24" t="inlineStr"/>
    </row>
    <row r="10">
      <c r="A10" s="7" t="inlineStr">
        <is>
          <t>홍보</t>
        </is>
      </c>
      <c r="B10" s="4" t="inlineStr">
        <is>
          <t>현수막·X배너</t>
        </is>
      </c>
      <c r="C10" s="5" t="n">
        <v>100000</v>
      </c>
      <c r="D10" s="7" t="n">
        <v>2</v>
      </c>
      <c r="E10" s="7" t="inlineStr">
        <is>
          <t>개</t>
        </is>
      </c>
      <c r="F10" s="5">
        <f>C10*D10</f>
        <v/>
      </c>
      <c r="G10" s="24" t="inlineStr"/>
    </row>
    <row r="11">
      <c r="A11" s="7" t="inlineStr">
        <is>
          <t>인쇄</t>
        </is>
      </c>
      <c r="B11" s="4" t="inlineStr">
        <is>
          <t>결승 발표 심사 자료집</t>
        </is>
      </c>
      <c r="C11" s="5" t="n">
        <v>12000</v>
      </c>
      <c r="D11" s="7" t="n">
        <v>15</v>
      </c>
      <c r="E11" s="7" t="inlineStr">
        <is>
          <t>부</t>
        </is>
      </c>
      <c r="F11" s="5">
        <f>C11*D11</f>
        <v/>
      </c>
      <c r="G11" s="24" t="inlineStr">
        <is>
          <t>심사위원·운영진용</t>
        </is>
      </c>
    </row>
    <row r="12">
      <c r="A12" s="7" t="inlineStr">
        <is>
          <t>인쇄</t>
        </is>
      </c>
      <c r="B12" s="4" t="inlineStr">
        <is>
          <t>상장 및 케이스</t>
        </is>
      </c>
      <c r="C12" s="5" t="n">
        <v>6000</v>
      </c>
      <c r="D12" s="7" t="n">
        <v>10</v>
      </c>
      <c r="E12" s="7" t="inlineStr">
        <is>
          <t>개</t>
        </is>
      </c>
      <c r="F12" s="5">
        <f>C12*D12</f>
        <v/>
      </c>
      <c r="G12" s="24" t="inlineStr"/>
    </row>
    <row r="13">
      <c r="A13" s="7" t="inlineStr">
        <is>
          <t>운영</t>
        </is>
      </c>
      <c r="B13" s="4" t="inlineStr">
        <is>
          <t>특강 다과</t>
        </is>
      </c>
      <c r="C13" s="5" t="n">
        <v>3000</v>
      </c>
      <c r="D13" s="7" t="n">
        <v>60</v>
      </c>
      <c r="E13" s="7" t="inlineStr">
        <is>
          <t>명</t>
        </is>
      </c>
      <c r="F13" s="5">
        <f>C13*D13</f>
        <v/>
      </c>
      <c r="G13" s="24" t="inlineStr">
        <is>
          <t>9.28 특강 정원 60명 기준</t>
        </is>
      </c>
    </row>
    <row r="14">
      <c r="A14" s="7" t="inlineStr">
        <is>
          <t>운영</t>
        </is>
      </c>
      <c r="B14" s="4" t="inlineStr">
        <is>
          <t>결승 식대(도시락)</t>
        </is>
      </c>
      <c r="C14" s="5" t="n">
        <v>12000</v>
      </c>
      <c r="D14" s="7" t="n">
        <v>25</v>
      </c>
      <c r="E14" s="7" t="inlineStr">
        <is>
          <t>명</t>
        </is>
      </c>
      <c r="F14" s="5">
        <f>C14*D14</f>
        <v/>
      </c>
      <c r="G14" s="24" t="inlineStr">
        <is>
          <t>10.22 참가팀·심사위원·스태프</t>
        </is>
      </c>
    </row>
    <row r="15">
      <c r="A15" s="7" t="inlineStr">
        <is>
          <t>운영</t>
        </is>
      </c>
      <c r="B15" s="4" t="inlineStr">
        <is>
          <t>소모품 및 현장 운영</t>
        </is>
      </c>
      <c r="C15" s="5" t="n">
        <v>120000</v>
      </c>
      <c r="D15" s="7" t="n">
        <v>1</v>
      </c>
      <c r="E15" s="7" t="inlineStr">
        <is>
          <t>식</t>
        </is>
      </c>
      <c r="F15" s="5">
        <f>C15*D15</f>
        <v/>
      </c>
      <c r="G15" s="24" t="inlineStr">
        <is>
          <t>명찰, 문구류, 현장 진행 물품</t>
        </is>
      </c>
    </row>
    <row r="16">
      <c r="A16" s="12" t="inlineStr">
        <is>
          <t>합계</t>
        </is>
      </c>
      <c r="B16" s="25" t="inlineStr"/>
      <c r="C16" s="25" t="inlineStr"/>
      <c r="D16" s="25" t="inlineStr"/>
      <c r="E16" s="25" t="inlineStr"/>
      <c r="F16" s="10">
        <f>SUM(F4:F15)</f>
        <v/>
      </c>
      <c r="G16" s="25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6" customWidth="1" min="4" max="4"/>
  </cols>
  <sheetData>
    <row r="1">
      <c r="A1" s="23" t="inlineStr">
        <is>
          <t>참고 — 2025년과 동일한 요율(일반관리비 6% · 이윤 10%)을 적용할 경우</t>
        </is>
      </c>
    </row>
    <row r="3">
      <c r="A3" s="3" t="inlineStr">
        <is>
          <t>구 분</t>
        </is>
      </c>
      <c r="B3" s="3" t="inlineStr">
        <is>
          <t>본 견적 (10,000,000원)</t>
        </is>
      </c>
      <c r="C3" s="3" t="inlineStr">
        <is>
          <t>2025년 요율 적용 시</t>
        </is>
      </c>
      <c r="D3" s="3" t="inlineStr">
        <is>
          <t>비 고</t>
        </is>
      </c>
    </row>
    <row r="4">
      <c r="A4" s="4" t="inlineStr">
        <is>
          <t>인건비(전문가 수당)</t>
        </is>
      </c>
      <c r="B4" s="5" t="n">
        <v>3500000</v>
      </c>
      <c r="C4" s="5" t="n">
        <v>3500000</v>
      </c>
      <c r="D4" s="24" t="inlineStr">
        <is>
          <t>동일</t>
        </is>
      </c>
    </row>
    <row r="5">
      <c r="A5" s="4" t="inlineStr">
        <is>
          <t>일반경비</t>
        </is>
      </c>
      <c r="B5" s="5" t="n">
        <v>5300000</v>
      </c>
      <c r="C5" s="5" t="n">
        <v>5300000</v>
      </c>
      <c r="D5" s="24" t="inlineStr">
        <is>
          <t>동일</t>
        </is>
      </c>
    </row>
    <row r="6">
      <c r="A6" s="4" t="inlineStr">
        <is>
          <t>일반관리비</t>
        </is>
      </c>
      <c r="B6" s="5" t="n">
        <v>176000</v>
      </c>
      <c r="C6" s="5" t="n">
        <v>528000</v>
      </c>
      <c r="D6" s="24" t="inlineStr">
        <is>
          <t>2.0% → 6.0%</t>
        </is>
      </c>
    </row>
    <row r="7">
      <c r="A7" s="4" t="inlineStr">
        <is>
          <t>이윤</t>
        </is>
      </c>
      <c r="B7" s="5" t="n">
        <v>114909</v>
      </c>
      <c r="C7" s="5" t="n">
        <v>932800</v>
      </c>
      <c r="D7" s="24" t="inlineStr">
        <is>
          <t>1.28% → 10.0%</t>
        </is>
      </c>
    </row>
    <row r="8">
      <c r="A8" s="9" t="inlineStr">
        <is>
          <t>총원가</t>
        </is>
      </c>
      <c r="B8" s="10" t="n">
        <v>9090909</v>
      </c>
      <c r="C8" s="10" t="n">
        <v>10260800</v>
      </c>
      <c r="D8" s="26" t="inlineStr"/>
    </row>
    <row r="9">
      <c r="A9" s="4" t="inlineStr">
        <is>
          <t>부가가치세</t>
        </is>
      </c>
      <c r="B9" s="5" t="n">
        <v>909091</v>
      </c>
      <c r="C9" s="5" t="n">
        <v>1026080</v>
      </c>
      <c r="D9" s="24" t="inlineStr"/>
    </row>
    <row r="10">
      <c r="A10" s="18" t="inlineStr">
        <is>
          <t>합 계 금 액</t>
        </is>
      </c>
      <c r="B10" s="19" t="n">
        <v>10000000</v>
      </c>
      <c r="C10" s="19" t="n">
        <v>11286880</v>
      </c>
      <c r="D10" s="21" t="inlineStr">
        <is>
          <t>차액 1,286,880원</t>
        </is>
      </c>
    </row>
    <row r="12" ht="40" customHeight="1">
      <c r="A12" s="22" t="inlineStr">
        <is>
          <t>※ 2025년 예산은 13,000,000원이었고 시상금이 없었다. 2026년은 총액이 10,000,000원으로 줄어든 대신 경진대회와 시상금 2,500,000원이 새로 들어갔다. 요율을 지키려면 총액 11,286,880원(천원 단위 절상 시 11,290,000원)이 필요하다.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2026-09-09T08:37:47Z</dcterms:created>
  <dcterms:modified xmlns:dcterms="http://purl.org/dc/terms/" xmlns:xsi="http://www.w3.org/2001/XMLSchema-instance" xsi:type="dcterms:W3CDTF">2026-09-09T08:37:47Z</dcterms:modified>
</cp:coreProperties>
</file>